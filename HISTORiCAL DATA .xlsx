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16BE47-6BAA-474A-82C9-EF5EB1C2806A}" xr6:coauthVersionLast="47" xr6:coauthVersionMax="47" xr10:uidLastSave="{00000000-0000-0000-0000-000000000000}"/>
  <bookViews>
    <workbookView xWindow="345" yWindow="1095" windowWidth="21600" windowHeight="12645" activeTab="2" xr2:uid="{00000000-000D-0000-FFFF-FFFF00000000}"/>
  </bookViews>
  <sheets>
    <sheet name="Cửa hàng 2025" sheetId="1" r:id="rId1"/>
    <sheet name="Các nguồn" sheetId="2" r:id="rId2"/>
    <sheet name="Dự Án Online 2025" sheetId="3" r:id="rId3"/>
    <sheet name="Tháng 1" sheetId="6" state="hidden" r:id="rId4"/>
    <sheet name="Tháng 2" sheetId="7" state="hidden" r:id="rId5"/>
    <sheet name="Tháng 3" sheetId="8" state="hidden" r:id="rId6"/>
    <sheet name="Tháng 4" sheetId="9" state="hidden" r:id="rId7"/>
    <sheet name="Tháng 5" sheetId="10" state="hidden" r:id="rId8"/>
    <sheet name="Tháng 6" sheetId="11" state="hidden" r:id="rId9"/>
    <sheet name="Tháng 7" sheetId="12" state="hidden" r:id="rId10"/>
    <sheet name="Tháng 8" sheetId="13" state="hidden" r:id="rId11"/>
    <sheet name="Tháng 9" sheetId="14" state="hidden" r:id="rId12"/>
    <sheet name="Tháng 10" sheetId="15" state="hidden" r:id="rId13"/>
    <sheet name="Tháng 11" sheetId="16" state="hidden" r:id="rId14"/>
    <sheet name="Tháng 12" sheetId="17" state="hidden" r:id="rId15"/>
  </sheets>
  <definedNames>
    <definedName name="_xlnm._FilterDatabase" localSheetId="12" hidden="1">'Tháng 10'!$A$1:$Z$1000</definedName>
    <definedName name="_xlnm._FilterDatabase" localSheetId="13" hidden="1">'Tháng 11'!$A$1:$Z$1000</definedName>
    <definedName name="_xlnm._FilterDatabase" localSheetId="14" hidden="1">'Tháng 12'!$A$1:$Z$1000</definedName>
    <definedName name="_xlnm._FilterDatabase" localSheetId="4" hidden="1">'Tháng 2'!$A$1:$E$67</definedName>
    <definedName name="_xlnm._FilterDatabase" localSheetId="5" hidden="1">'Tháng 3'!$A$1:$Z$1000</definedName>
    <definedName name="_xlnm._FilterDatabase" localSheetId="6" hidden="1">'Tháng 4'!$A$1:$Z$1000</definedName>
    <definedName name="_xlnm._FilterDatabase" localSheetId="7" hidden="1">'Tháng 5'!$A$1:$Z$1000</definedName>
    <definedName name="_xlnm._FilterDatabase" localSheetId="8" hidden="1">'Tháng 6'!$A$1:$Z$1066</definedName>
    <definedName name="_xlnm._FilterDatabase" localSheetId="9" hidden="1">'Tháng 7'!$A$1:$Z$1065</definedName>
    <definedName name="_xlnm._FilterDatabase" localSheetId="10" hidden="1">'Tháng 8'!$A$1:$Z$1000</definedName>
    <definedName name="_xlnm._FilterDatabase" localSheetId="11" hidden="1">'Tháng 9'!$A$1:$Z$1000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3" i="3" l="1"/>
  <c r="K23" i="3"/>
  <c r="J23" i="3"/>
  <c r="I23" i="3"/>
  <c r="H23" i="3"/>
  <c r="G23" i="3"/>
  <c r="F23" i="3"/>
  <c r="E23" i="3"/>
  <c r="D23" i="3"/>
  <c r="C23" i="3"/>
  <c r="B23" i="3"/>
  <c r="N18" i="3"/>
  <c r="N17" i="3"/>
  <c r="N23" i="3" s="1"/>
  <c r="L12" i="3"/>
  <c r="K12" i="3"/>
  <c r="J12" i="3"/>
  <c r="I12" i="3"/>
  <c r="H12" i="3"/>
  <c r="G12" i="3"/>
  <c r="F12" i="3"/>
  <c r="E12" i="3"/>
  <c r="D12" i="3"/>
  <c r="C12" i="3"/>
  <c r="B12" i="3"/>
  <c r="N11" i="3"/>
  <c r="N10" i="3"/>
  <c r="N12" i="3" s="1"/>
  <c r="L5" i="3"/>
  <c r="K5" i="3"/>
  <c r="J5" i="3"/>
  <c r="I5" i="3"/>
  <c r="H5" i="3"/>
  <c r="G5" i="3"/>
  <c r="F5" i="3"/>
  <c r="E5" i="3"/>
  <c r="D5" i="3"/>
  <c r="C5" i="3"/>
  <c r="B5" i="3"/>
  <c r="N4" i="3"/>
  <c r="M28" i="3" s="1"/>
  <c r="N3" i="3"/>
  <c r="N5" i="3" s="1"/>
  <c r="M46" i="2"/>
  <c r="L46" i="2"/>
  <c r="K46" i="2"/>
  <c r="J46" i="2"/>
  <c r="I46" i="2"/>
  <c r="H46" i="2"/>
  <c r="G46" i="2"/>
  <c r="F46" i="2"/>
  <c r="E46" i="2"/>
  <c r="D46" i="2"/>
  <c r="C46" i="2"/>
  <c r="B46" i="2"/>
  <c r="N43" i="2"/>
  <c r="M43" i="2"/>
  <c r="L43" i="2"/>
  <c r="K43" i="2"/>
  <c r="J43" i="2"/>
  <c r="I43" i="2"/>
  <c r="H43" i="2"/>
  <c r="G43" i="2"/>
  <c r="F43" i="2"/>
  <c r="E43" i="2"/>
  <c r="D43" i="2"/>
  <c r="C43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N41" i="2"/>
  <c r="M41" i="2"/>
  <c r="L41" i="2"/>
  <c r="K41" i="2"/>
  <c r="J41" i="2"/>
  <c r="I41" i="2"/>
  <c r="H41" i="2"/>
  <c r="G41" i="2"/>
  <c r="F41" i="2"/>
  <c r="E41" i="2"/>
  <c r="D41" i="2"/>
  <c r="C41" i="2"/>
  <c r="N40" i="2"/>
  <c r="M40" i="2"/>
  <c r="L40" i="2"/>
  <c r="K40" i="2"/>
  <c r="J40" i="2"/>
  <c r="I40" i="2"/>
  <c r="H40" i="2"/>
  <c r="G40" i="2"/>
  <c r="F40" i="2"/>
  <c r="E40" i="2"/>
  <c r="D40" i="2"/>
  <c r="C40" i="2"/>
  <c r="N39" i="2"/>
  <c r="M39" i="2"/>
  <c r="L39" i="2"/>
  <c r="K39" i="2"/>
  <c r="J39" i="2"/>
  <c r="I39" i="2"/>
  <c r="H39" i="2"/>
  <c r="G39" i="2"/>
  <c r="F39" i="2"/>
  <c r="E39" i="2"/>
  <c r="D39" i="2"/>
  <c r="C39" i="2"/>
  <c r="N38" i="2"/>
  <c r="M38" i="2"/>
  <c r="L38" i="2"/>
  <c r="K38" i="2"/>
  <c r="J38" i="2"/>
  <c r="I38" i="2"/>
  <c r="H38" i="2"/>
  <c r="G38" i="2"/>
  <c r="F38" i="2"/>
  <c r="E38" i="2"/>
  <c r="D38" i="2"/>
  <c r="C38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N36" i="2"/>
  <c r="M36" i="2"/>
  <c r="L36" i="2"/>
  <c r="K36" i="2"/>
  <c r="J36" i="2"/>
  <c r="I36" i="2"/>
  <c r="H36" i="2"/>
  <c r="G36" i="2"/>
  <c r="F36" i="2"/>
  <c r="E36" i="2"/>
  <c r="D36" i="2"/>
  <c r="C36" i="2"/>
  <c r="N35" i="2"/>
  <c r="M35" i="2"/>
  <c r="L35" i="2"/>
  <c r="K35" i="2"/>
  <c r="J35" i="2"/>
  <c r="I35" i="2"/>
  <c r="H35" i="2"/>
  <c r="G35" i="2"/>
  <c r="F35" i="2"/>
  <c r="E35" i="2"/>
  <c r="D35" i="2"/>
  <c r="C35" i="2"/>
  <c r="N34" i="2"/>
  <c r="M34" i="2"/>
  <c r="L34" i="2"/>
  <c r="K34" i="2"/>
  <c r="J34" i="2"/>
  <c r="I34" i="2"/>
  <c r="H34" i="2"/>
  <c r="G34" i="2"/>
  <c r="F34" i="2"/>
  <c r="E34" i="2"/>
  <c r="D34" i="2"/>
  <c r="C34" i="2"/>
  <c r="B31" i="2"/>
  <c r="B30" i="2"/>
  <c r="B29" i="2"/>
  <c r="B28" i="2"/>
  <c r="B27" i="2"/>
  <c r="B26" i="2"/>
  <c r="B25" i="2"/>
  <c r="B24" i="2"/>
  <c r="B23" i="2"/>
  <c r="B22" i="2"/>
  <c r="B21" i="2"/>
  <c r="B15" i="2"/>
  <c r="B43" i="2" s="1"/>
  <c r="B14" i="2"/>
  <c r="B13" i="2"/>
  <c r="B41" i="2" s="1"/>
  <c r="B12" i="2"/>
  <c r="B11" i="2"/>
  <c r="B40" i="2" s="1"/>
  <c r="B10" i="2"/>
  <c r="B39" i="2" s="1"/>
  <c r="B9" i="2"/>
  <c r="B38" i="2" s="1"/>
  <c r="B8" i="2"/>
  <c r="B7" i="2"/>
  <c r="B36" i="2" s="1"/>
  <c r="B6" i="2"/>
  <c r="B35" i="2" s="1"/>
  <c r="B5" i="2"/>
  <c r="B34" i="2" s="1"/>
  <c r="B4" i="2"/>
  <c r="N3" i="2"/>
  <c r="M3" i="2"/>
  <c r="L3" i="2"/>
  <c r="K3" i="2"/>
  <c r="J3" i="2"/>
  <c r="I3" i="2"/>
  <c r="H3" i="2"/>
  <c r="G3" i="2"/>
  <c r="F3" i="2"/>
  <c r="E3" i="2"/>
  <c r="B3" i="2" s="1"/>
  <c r="D3" i="2"/>
  <c r="C3" i="2"/>
  <c r="B2" i="2"/>
  <c r="M97" i="1"/>
  <c r="L97" i="1"/>
  <c r="K97" i="1"/>
  <c r="J97" i="1"/>
  <c r="I97" i="1"/>
  <c r="H97" i="1"/>
  <c r="G97" i="1"/>
  <c r="F97" i="1"/>
  <c r="E97" i="1"/>
  <c r="D97" i="1"/>
  <c r="C97" i="1"/>
  <c r="B97" i="1"/>
  <c r="M96" i="1"/>
  <c r="L96" i="1"/>
  <c r="K96" i="1"/>
  <c r="J96" i="1"/>
  <c r="I96" i="1"/>
  <c r="H96" i="1"/>
  <c r="G96" i="1"/>
  <c r="F96" i="1"/>
  <c r="E96" i="1"/>
  <c r="D96" i="1"/>
  <c r="C96" i="1"/>
  <c r="B96" i="1"/>
  <c r="M95" i="1"/>
  <c r="L95" i="1"/>
  <c r="K95" i="1"/>
  <c r="J95" i="1"/>
  <c r="I95" i="1"/>
  <c r="H95" i="1"/>
  <c r="G95" i="1"/>
  <c r="F95" i="1"/>
  <c r="E95" i="1"/>
  <c r="D95" i="1"/>
  <c r="C95" i="1"/>
  <c r="B95" i="1"/>
  <c r="M91" i="1"/>
  <c r="L91" i="1"/>
  <c r="K91" i="1"/>
  <c r="J91" i="1"/>
  <c r="I91" i="1"/>
  <c r="H91" i="1"/>
  <c r="G91" i="1"/>
  <c r="F91" i="1"/>
  <c r="E91" i="1"/>
  <c r="D91" i="1"/>
  <c r="C91" i="1"/>
  <c r="B91" i="1"/>
  <c r="M90" i="1"/>
  <c r="L90" i="1"/>
  <c r="K90" i="1"/>
  <c r="J90" i="1"/>
  <c r="I90" i="1"/>
  <c r="H90" i="1"/>
  <c r="G90" i="1"/>
  <c r="F90" i="1"/>
  <c r="E90" i="1"/>
  <c r="D90" i="1"/>
  <c r="C90" i="1"/>
  <c r="B90" i="1"/>
  <c r="M89" i="1"/>
  <c r="L89" i="1"/>
  <c r="K89" i="1"/>
  <c r="J89" i="1"/>
  <c r="I89" i="1"/>
  <c r="H89" i="1"/>
  <c r="G89" i="1"/>
  <c r="F89" i="1"/>
  <c r="E89" i="1"/>
  <c r="D89" i="1"/>
  <c r="C89" i="1"/>
  <c r="B89" i="1"/>
  <c r="M82" i="1"/>
  <c r="M88" i="1" s="1"/>
  <c r="L82" i="1"/>
  <c r="L88" i="1" s="1"/>
  <c r="K82" i="1"/>
  <c r="K88" i="1" s="1"/>
  <c r="J82" i="1"/>
  <c r="J88" i="1" s="1"/>
  <c r="I82" i="1"/>
  <c r="I88" i="1" s="1"/>
  <c r="H82" i="1"/>
  <c r="H88" i="1" s="1"/>
  <c r="G82" i="1"/>
  <c r="G88" i="1" s="1"/>
  <c r="F82" i="1"/>
  <c r="F88" i="1" s="1"/>
  <c r="E82" i="1"/>
  <c r="E88" i="1" s="1"/>
  <c r="D82" i="1"/>
  <c r="D88" i="1" s="1"/>
  <c r="C82" i="1"/>
  <c r="C88" i="1" s="1"/>
  <c r="B82" i="1"/>
  <c r="B88" i="1" s="1"/>
  <c r="M76" i="1"/>
  <c r="L76" i="1"/>
  <c r="K76" i="1"/>
  <c r="J76" i="1"/>
  <c r="I76" i="1"/>
  <c r="H76" i="1"/>
  <c r="G76" i="1"/>
  <c r="F76" i="1"/>
  <c r="E76" i="1"/>
  <c r="D76" i="1"/>
  <c r="C76" i="1"/>
  <c r="B76" i="1"/>
  <c r="M70" i="1"/>
  <c r="M94" i="1" s="1"/>
  <c r="L70" i="1"/>
  <c r="L94" i="1" s="1"/>
  <c r="K70" i="1"/>
  <c r="K94" i="1" s="1"/>
  <c r="J70" i="1"/>
  <c r="J94" i="1" s="1"/>
  <c r="I70" i="1"/>
  <c r="I94" i="1" s="1"/>
  <c r="H70" i="1"/>
  <c r="H94" i="1" s="1"/>
  <c r="G70" i="1"/>
  <c r="G94" i="1" s="1"/>
  <c r="F70" i="1"/>
  <c r="F94" i="1" s="1"/>
  <c r="E70" i="1"/>
  <c r="E94" i="1" s="1"/>
  <c r="D70" i="1"/>
  <c r="D94" i="1" s="1"/>
  <c r="C70" i="1"/>
  <c r="C94" i="1" s="1"/>
  <c r="B70" i="1"/>
  <c r="B94" i="1" s="1"/>
  <c r="M64" i="1"/>
  <c r="L64" i="1"/>
  <c r="K64" i="1"/>
  <c r="J64" i="1"/>
  <c r="I64" i="1"/>
  <c r="H64" i="1"/>
  <c r="G64" i="1"/>
  <c r="F64" i="1"/>
  <c r="E64" i="1"/>
  <c r="D64" i="1"/>
  <c r="C64" i="1"/>
  <c r="B64" i="1"/>
  <c r="N64" i="1" s="1"/>
  <c r="M60" i="1"/>
  <c r="L60" i="1"/>
  <c r="K60" i="1"/>
  <c r="J60" i="1"/>
  <c r="I60" i="1"/>
  <c r="H60" i="1"/>
  <c r="G60" i="1"/>
  <c r="F60" i="1"/>
  <c r="E60" i="1"/>
  <c r="D60" i="1"/>
  <c r="C60" i="1"/>
  <c r="B60" i="1"/>
  <c r="M59" i="1"/>
  <c r="L59" i="1"/>
  <c r="K59" i="1"/>
  <c r="J59" i="1"/>
  <c r="I59" i="1"/>
  <c r="H59" i="1"/>
  <c r="G59" i="1"/>
  <c r="F59" i="1"/>
  <c r="E59" i="1"/>
  <c r="D59" i="1"/>
  <c r="C59" i="1"/>
  <c r="B59" i="1"/>
  <c r="M58" i="1"/>
  <c r="L58" i="1"/>
  <c r="K58" i="1"/>
  <c r="J58" i="1"/>
  <c r="I58" i="1"/>
  <c r="H58" i="1"/>
  <c r="G58" i="1"/>
  <c r="F58" i="1"/>
  <c r="E58" i="1"/>
  <c r="D58" i="1"/>
  <c r="C58" i="1"/>
  <c r="B58" i="1"/>
  <c r="M57" i="1"/>
  <c r="L57" i="1"/>
  <c r="K57" i="1"/>
  <c r="J57" i="1"/>
  <c r="I57" i="1"/>
  <c r="H57" i="1"/>
  <c r="G57" i="1"/>
  <c r="F57" i="1"/>
  <c r="E57" i="1"/>
  <c r="D57" i="1"/>
  <c r="C57" i="1"/>
  <c r="B57" i="1"/>
  <c r="M56" i="1"/>
  <c r="L56" i="1"/>
  <c r="K56" i="1"/>
  <c r="J56" i="1"/>
  <c r="I56" i="1"/>
  <c r="H56" i="1"/>
  <c r="G56" i="1"/>
  <c r="F56" i="1"/>
  <c r="E56" i="1"/>
  <c r="D56" i="1"/>
  <c r="C56" i="1"/>
  <c r="B56" i="1"/>
  <c r="M55" i="1"/>
  <c r="L55" i="1"/>
  <c r="K55" i="1"/>
  <c r="J55" i="1"/>
  <c r="I55" i="1"/>
  <c r="H55" i="1"/>
  <c r="G55" i="1"/>
  <c r="F55" i="1"/>
  <c r="E55" i="1"/>
  <c r="D55" i="1"/>
  <c r="C55" i="1"/>
  <c r="B55" i="1"/>
  <c r="M54" i="1"/>
  <c r="L54" i="1"/>
  <c r="K54" i="1"/>
  <c r="J54" i="1"/>
  <c r="I54" i="1"/>
  <c r="H54" i="1"/>
  <c r="G54" i="1"/>
  <c r="F54" i="1"/>
  <c r="E54" i="1"/>
  <c r="D54" i="1"/>
  <c r="C54" i="1"/>
  <c r="B54" i="1"/>
  <c r="M53" i="1"/>
  <c r="L53" i="1"/>
  <c r="K53" i="1"/>
  <c r="J53" i="1"/>
  <c r="I53" i="1"/>
  <c r="H53" i="1"/>
  <c r="G53" i="1"/>
  <c r="F53" i="1"/>
  <c r="E53" i="1"/>
  <c r="D53" i="1"/>
  <c r="C53" i="1"/>
  <c r="B53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J22" i="1"/>
  <c r="I22" i="1"/>
  <c r="H22" i="1"/>
  <c r="G22" i="1"/>
  <c r="F22" i="1"/>
  <c r="E22" i="1"/>
  <c r="D22" i="1"/>
  <c r="C22" i="1"/>
  <c r="B22" i="1"/>
  <c r="N19" i="1"/>
  <c r="N18" i="1"/>
  <c r="N17" i="1"/>
  <c r="N16" i="1"/>
  <c r="N15" i="1"/>
  <c r="N14" i="1"/>
  <c r="N13" i="1"/>
  <c r="N12" i="1"/>
  <c r="N9" i="1"/>
  <c r="N8" i="1"/>
  <c r="N7" i="1"/>
  <c r="N6" i="1"/>
  <c r="N5" i="1"/>
  <c r="N4" i="1"/>
  <c r="N3" i="1"/>
  <c r="N2" i="1"/>
  <c r="O11" i="1" s="1"/>
</calcChain>
</file>

<file path=xl/sharedStrings.xml><?xml version="1.0" encoding="utf-8"?>
<sst xmlns="http://schemas.openxmlformats.org/spreadsheetml/2006/main" count="4190" uniqueCount="193">
  <si>
    <t>Doanh thu thuần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</si>
  <si>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</si>
  <si>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</si>
  <si>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</si>
  <si>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</si>
  <si>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</si>
  <si>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</si>
  <si>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</si>
  <si>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</si>
  <si>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</si>
  <si>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</si>
  <si>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</si>
  <si>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</si>
  <si>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Năm 2025</t>
  </si>
  <si>
    <t>JPS Cửa hàng HN</t>
  </si>
  <si>
    <t>Đỗ Quang</t>
  </si>
  <si>
    <t>Trung Hòa</t>
  </si>
  <si>
    <t>Mộ Lao</t>
  </si>
  <si>
    <t>Mỹ Đình</t>
  </si>
  <si>
    <t>Trần Đăng Ninh</t>
  </si>
  <si>
    <t>Times City</t>
  </si>
  <si>
    <t>Ngoại Giao Đoàn</t>
  </si>
  <si>
    <t>Doanh thu KHM</t>
  </si>
  <si>
    <t>% DTT KHM</t>
  </si>
  <si>
    <t>Tổng KH</t>
  </si>
  <si>
    <t>Số lượng KHM</t>
  </si>
  <si>
    <t>% KHM</t>
  </si>
  <si>
    <t>JPS Cửa hàng HCM</t>
  </si>
  <si>
    <t>Lê Văn Sỹ</t>
  </si>
  <si>
    <t>Nguyễn thị Thập</t>
  </si>
  <si>
    <t>Hai Bà Trưng</t>
  </si>
  <si>
    <t>DT KHM</t>
  </si>
  <si>
    <t>Tổng khách hàng</t>
  </si>
  <si>
    <t>SL KHM</t>
  </si>
  <si>
    <t>% DT KHM</t>
  </si>
  <si>
    <t>Chi phí</t>
  </si>
  <si>
    <t>Tổng</t>
  </si>
  <si>
    <t>Tổng online</t>
  </si>
  <si>
    <t>KD.Online MB</t>
  </si>
  <si>
    <t>KD.TMĐT</t>
  </si>
  <si>
    <t>HN_Đỗ Quang</t>
  </si>
  <si>
    <t>HN_Trung Hòa</t>
  </si>
  <si>
    <t>HN_Mỹ Đình</t>
  </si>
  <si>
    <t>HN_Mỗ Lao</t>
  </si>
  <si>
    <t>HN_Trần Đăng Ninh</t>
  </si>
  <si>
    <t>HN_Times City</t>
  </si>
  <si>
    <t>HN_Ngoại Giao Đoàn</t>
  </si>
  <si>
    <t>KD.Online MN</t>
  </si>
  <si>
    <t>HCM_Lê Văn Sỹ</t>
  </si>
  <si>
    <t>HCM_Nguyễn Thị Thập Q7</t>
  </si>
  <si>
    <t>HCM_Hai Bà Trưng</t>
  </si>
  <si>
    <t>Me/Re</t>
  </si>
  <si>
    <t xml:space="preserve">Tổng năm </t>
  </si>
  <si>
    <t>Ho Chi Minh City</t>
  </si>
  <si>
    <t>Đồng Nai Province</t>
  </si>
  <si>
    <t>Bình Dương Province</t>
  </si>
  <si>
    <t>Bà Rịa–Vũng Tàu Province</t>
  </si>
  <si>
    <t>Cần Thơ</t>
  </si>
  <si>
    <t>Tiền Giang Province</t>
  </si>
  <si>
    <t>Tây Ninh Province</t>
  </si>
  <si>
    <t>An Giang Province</t>
  </si>
  <si>
    <t>Long An Province</t>
  </si>
  <si>
    <t>Kiên Giang Province</t>
  </si>
  <si>
    <t>Bình Phước Province</t>
  </si>
  <si>
    <t>Đồng Tháp Province</t>
  </si>
  <si>
    <t>Cà Mau Province</t>
  </si>
  <si>
    <t>Bến Tre Province</t>
  </si>
  <si>
    <t>Trà Vinh Province</t>
  </si>
  <si>
    <t>Bạc Liêu Province</t>
  </si>
  <si>
    <t>Sóc Trăng Province</t>
  </si>
  <si>
    <t>Vĩnh Long Province</t>
  </si>
  <si>
    <t>Hậu Giang Province</t>
  </si>
  <si>
    <t>Gunze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</si>
  <si>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</si>
  <si>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</si>
  <si>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</si>
  <si>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</si>
  <si>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</si>
  <si>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</si>
  <si>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</si>
  <si>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</si>
  <si>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</si>
  <si>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</si>
  <si>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</si>
  <si>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</si>
  <si>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Ngân sách</t>
  </si>
  <si>
    <t>Doanh thu</t>
  </si>
  <si>
    <t>Data</t>
  </si>
  <si>
    <t>Mỹ phẩm</t>
  </si>
  <si>
    <t xml:space="preserve">Web: 261 data 
Page: 427 data
</t>
  </si>
  <si>
    <t>Web: 121 data 
Page: 477 data</t>
  </si>
  <si>
    <t>Giày</t>
  </si>
  <si>
    <t>Mess</t>
  </si>
  <si>
    <t>LDP</t>
  </si>
  <si>
    <t>Website</t>
  </si>
  <si>
    <t>Live, CSL, Zalo</t>
  </si>
  <si>
    <t>Data Mess</t>
  </si>
  <si>
    <t>Data LDP</t>
  </si>
  <si>
    <t>Data website</t>
  </si>
  <si>
    <t>Vùng</t>
  </si>
  <si>
    <t>Đơn vị tiền tệ</t>
  </si>
  <si>
    <t>Số tiền đã chi tiêu (VND)</t>
  </si>
  <si>
    <t>Bắt đầu báo cáo</t>
  </si>
  <si>
    <t>Kết thúc báo cáo</t>
  </si>
  <si>
    <t/>
  </si>
  <si>
    <t>VND</t>
  </si>
  <si>
    <t>2025-01-01</t>
  </si>
  <si>
    <t>2025-01-31</t>
  </si>
  <si>
    <t>Hanoi</t>
  </si>
  <si>
    <t>Haiphong</t>
  </si>
  <si>
    <t>Quảng Ninh Province</t>
  </si>
  <si>
    <t>Thanh Hóa Province</t>
  </si>
  <si>
    <t>Da Nang</t>
  </si>
  <si>
    <t>Bắc Ninh Province</t>
  </si>
  <si>
    <t>Hải Dương Province</t>
  </si>
  <si>
    <t>Nghệ An Province</t>
  </si>
  <si>
    <t>Khánh Hòa Province</t>
  </si>
  <si>
    <t>Bắc Giang Province</t>
  </si>
  <si>
    <t>Thừa Thiên–Huế Province</t>
  </si>
  <si>
    <t>Thái Nguyên Province</t>
  </si>
  <si>
    <t>Nam Định Province</t>
  </si>
  <si>
    <t>Lâm Đồng Province</t>
  </si>
  <si>
    <t>Phú Thọ Province</t>
  </si>
  <si>
    <t>Quảng Nam Province</t>
  </si>
  <si>
    <t>Thái Bình Province</t>
  </si>
  <si>
    <t>Vĩnh Phúc Province</t>
  </si>
  <si>
    <t>Đắk Lắk Province</t>
  </si>
  <si>
    <t>Hưng Yên Province</t>
  </si>
  <si>
    <t>Ninh Bình Province</t>
  </si>
  <si>
    <t>Bình Định Province</t>
  </si>
  <si>
    <t>Gia Lai Province</t>
  </si>
  <si>
    <t>Hòa Bình Province</t>
  </si>
  <si>
    <t>Hà Nam Province</t>
  </si>
  <si>
    <t>Hà Tĩnh Province</t>
  </si>
  <si>
    <t>Quảng Ngãi Province</t>
  </si>
  <si>
    <t>Tuyên Quang Province</t>
  </si>
  <si>
    <t>Bình Thuận Province</t>
  </si>
  <si>
    <t>Lào Cai Province</t>
  </si>
  <si>
    <t>Phú Yên Province</t>
  </si>
  <si>
    <t>Yên Bái Province</t>
  </si>
  <si>
    <t>Sơn La Province</t>
  </si>
  <si>
    <t>Lạng Sơn Province</t>
  </si>
  <si>
    <t>Quảng Bình Province</t>
  </si>
  <si>
    <t>Quảng Trị Province</t>
  </si>
  <si>
    <t>Điện Biên Province</t>
  </si>
  <si>
    <t>Ninh Thuận Province</t>
  </si>
  <si>
    <t>Cao Bằng Province</t>
  </si>
  <si>
    <t>Kon Tum Province</t>
  </si>
  <si>
    <t>Hà Giang Province</t>
  </si>
  <si>
    <t>Bắc Kạn Province</t>
  </si>
  <si>
    <t>Đắk Nông Province</t>
  </si>
  <si>
    <t>Lai Châu Province</t>
  </si>
  <si>
    <t>Unknown</t>
  </si>
  <si>
    <t>Svay Rieng Province</t>
  </si>
  <si>
    <t>2025-02-01</t>
  </si>
  <si>
    <t>2025-02-28</t>
  </si>
  <si>
    <t>2025-03-01</t>
  </si>
  <si>
    <t>2025-03-31</t>
  </si>
  <si>
    <t>2025-04-01</t>
  </si>
  <si>
    <t>2025-04-30</t>
  </si>
  <si>
    <t>2025-05-01</t>
  </si>
  <si>
    <t>2025-05-31</t>
  </si>
  <si>
    <t>Calabarzon</t>
  </si>
  <si>
    <t>Metro Manila</t>
  </si>
  <si>
    <t>Central Luzon</t>
  </si>
  <si>
    <t>Central Visayas</t>
  </si>
  <si>
    <t>Soccsksargen</t>
  </si>
  <si>
    <t>Zamboanga Peninsula</t>
  </si>
  <si>
    <t>Davao Region</t>
  </si>
  <si>
    <t>Western Visayas</t>
  </si>
  <si>
    <t>Bicol Region</t>
  </si>
  <si>
    <t>Cagayan Valley</t>
  </si>
  <si>
    <t>Eastern Visayas</t>
  </si>
  <si>
    <t>Northern Mindanao</t>
  </si>
  <si>
    <t>Cordillera Administrative Region</t>
  </si>
  <si>
    <t>Ilocos Region</t>
  </si>
  <si>
    <t>Caraga</t>
  </si>
  <si>
    <t>Autonomous Region in Muslim Mindanao</t>
  </si>
  <si>
    <t>Mimaropa</t>
  </si>
  <si>
    <t>2025-06-01</t>
  </si>
  <si>
    <t>2025-06-30</t>
  </si>
  <si>
    <t>2025-07-01</t>
  </si>
  <si>
    <t>2025-07-31</t>
  </si>
  <si>
    <t>2025-08-01</t>
  </si>
  <si>
    <t>2025-08-31</t>
  </si>
  <si>
    <t>2025-09-01</t>
  </si>
  <si>
    <t>2025-09-30</t>
  </si>
  <si>
    <t>2025-10-01</t>
  </si>
  <si>
    <t>2025-10-31</t>
  </si>
  <si>
    <t>2025-11-01</t>
  </si>
  <si>
    <t>2025-11-30</t>
  </si>
  <si>
    <t>2025-12-01</t>
  </si>
  <si>
    <t>2025-12-17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</si>
</sst>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\ [$đ-42A]"/>
    <numFmt numFmtId="166" formatCode="d/m"/>
  </numFmts>
  <fonts count="26">
    <font>
      <sz val="10"/>
      <color rgb="FF000000"/>
      <name val="Arial"/>
      <scheme val="minor"/>
    </font>
    <font>
      <b/>
      <sz val="10"/>
      <color rgb="FFFF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FF"/>
      <name val="Arial"/>
      <scheme val="minor"/>
    </font>
    <font>
      <b/>
      <sz val="10"/>
      <color rgb="FFFFFFFF"/>
      <name val="Arial"/>
    </font>
    <font>
      <sz val="10"/>
      <color rgb="FFFF0000"/>
      <name val="Arial"/>
      <scheme val="minor"/>
    </font>
    <font>
      <sz val="9"/>
      <color theme="1"/>
      <name val="Times New Roman"/>
    </font>
    <font>
      <b/>
      <sz val="9"/>
      <color theme="1"/>
      <name val="Times New Roman"/>
    </font>
    <font>
      <sz val="9"/>
      <color rgb="FF000000"/>
      <name val="&quot;Times New Roman&quot;"/>
    </font>
    <font>
      <sz val="10"/>
      <color theme="1"/>
      <name val="Times New Roman"/>
    </font>
    <font>
      <sz val="10"/>
      <color rgb="FFFF0000"/>
      <name val="Times New Roman"/>
    </font>
    <font>
      <sz val="10"/>
      <color theme="1"/>
      <name val="Arial"/>
      <scheme val="minor"/>
    </font>
    <font>
      <sz val="10"/>
      <color rgb="FF000000"/>
      <name val="Times New Roman"/>
    </font>
    <font>
      <b/>
      <sz val="10"/>
      <color rgb="FFFF0000"/>
      <name val="Times New Roman"/>
    </font>
    <font>
      <b/>
      <sz val="10"/>
      <color theme="1"/>
      <name val="Times New Roman"/>
    </font>
    <font>
      <b/>
      <sz val="10"/>
      <color theme="1"/>
      <name val="Arial"/>
    </font>
    <font>
      <sz val="11"/>
      <color theme="1"/>
      <name val="Calibri"/>
    </font>
    <font>
      <b/>
      <sz val="10"/>
      <color rgb="FFFF0000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1"/>
      <color rgb="FF212121"/>
      <name val="Montserrat"/>
    </font>
    <font>
      <b/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C4125"/>
        <bgColor rgb="FFCC412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93C47D"/>
      </left>
      <right style="hair">
        <color rgb="FF93C47D"/>
      </right>
      <top style="hair">
        <color rgb="FF93C47D"/>
      </top>
      <bottom style="hair">
        <color rgb="FF93C47D"/>
      </bottom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 applyFont="1" applyAlignment="1"/>
    <xf numFmtId="0" fontId="1" fillId="0" borderId="1" xfId="0" applyFont="1" applyBorder="1" applyAlignme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/>
    <xf numFmtId="0" fontId="4" fillId="3" borderId="4" xfId="0" applyFont="1" applyFill="1" applyBorder="1" applyAlignment="1"/>
    <xf numFmtId="3" fontId="3" fillId="0" borderId="0" xfId="0" applyNumberFormat="1" applyFont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0" xfId="0" applyNumberFormat="1" applyFont="1"/>
    <xf numFmtId="0" fontId="4" fillId="3" borderId="6" xfId="0" applyFont="1" applyFill="1" applyBorder="1" applyAlignment="1"/>
    <xf numFmtId="3" fontId="3" fillId="0" borderId="7" xfId="0" applyNumberFormat="1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5" fillId="0" borderId="9" xfId="0" applyNumberFormat="1" applyFont="1" applyBorder="1" applyAlignment="1">
      <alignment horizontal="right"/>
    </xf>
    <xf numFmtId="3" fontId="3" fillId="0" borderId="0" xfId="0" applyNumberFormat="1" applyFont="1" applyAlignment="1"/>
    <xf numFmtId="10" fontId="3" fillId="0" borderId="0" xfId="0" applyNumberFormat="1" applyFont="1" applyAlignment="1">
      <alignment horizontal="center"/>
    </xf>
    <xf numFmtId="10" fontId="3" fillId="0" borderId="5" xfId="0" applyNumberFormat="1" applyFont="1" applyBorder="1" applyAlignment="1">
      <alignment horizontal="center"/>
    </xf>
    <xf numFmtId="10" fontId="3" fillId="0" borderId="0" xfId="0" applyNumberFormat="1" applyFont="1" applyAlignment="1"/>
    <xf numFmtId="10" fontId="3" fillId="0" borderId="7" xfId="0" applyNumberFormat="1" applyFont="1" applyBorder="1" applyAlignment="1">
      <alignment horizontal="center"/>
    </xf>
    <xf numFmtId="10" fontId="3" fillId="0" borderId="8" xfId="0" applyNumberFormat="1" applyFont="1" applyBorder="1" applyAlignment="1">
      <alignment horizontal="center"/>
    </xf>
    <xf numFmtId="0" fontId="4" fillId="0" borderId="4" xfId="0" applyFont="1" applyBorder="1" applyAlignment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6" fillId="0" borderId="1" xfId="0" applyFont="1" applyBorder="1" applyAlignment="1"/>
    <xf numFmtId="0" fontId="7" fillId="4" borderId="4" xfId="0" applyFont="1" applyFill="1" applyBorder="1" applyAlignment="1"/>
    <xf numFmtId="0" fontId="7" fillId="4" borderId="6" xfId="0" applyFont="1" applyFill="1" applyBorder="1" applyAlignment="1"/>
    <xf numFmtId="10" fontId="3" fillId="0" borderId="0" xfId="0" applyNumberFormat="1" applyFont="1" applyAlignment="1">
      <alignment horizontal="center"/>
    </xf>
    <xf numFmtId="10" fontId="3" fillId="0" borderId="5" xfId="0" applyNumberFormat="1" applyFont="1" applyBorder="1" applyAlignment="1">
      <alignment horizontal="center"/>
    </xf>
    <xf numFmtId="10" fontId="3" fillId="0" borderId="7" xfId="0" applyNumberFormat="1" applyFont="1" applyBorder="1" applyAlignment="1">
      <alignment horizontal="center"/>
    </xf>
    <xf numFmtId="10" fontId="3" fillId="0" borderId="8" xfId="0" applyNumberFormat="1" applyFont="1" applyBorder="1" applyAlignment="1">
      <alignment horizontal="center"/>
    </xf>
    <xf numFmtId="0" fontId="8" fillId="0" borderId="0" xfId="0" applyFont="1" applyAlignment="1"/>
    <xf numFmtId="0" fontId="9" fillId="0" borderId="0" xfId="0" applyFont="1" applyAlignment="1"/>
    <xf numFmtId="0" fontId="10" fillId="5" borderId="10" xfId="0" applyFont="1" applyFill="1" applyBorder="1" applyAlignment="1">
      <alignment horizontal="center"/>
    </xf>
    <xf numFmtId="3" fontId="11" fillId="3" borderId="0" xfId="0" applyNumberFormat="1" applyFont="1" applyFill="1" applyAlignment="1"/>
    <xf numFmtId="3" fontId="12" fillId="0" borderId="0" xfId="0" applyNumberFormat="1" applyFont="1"/>
    <xf numFmtId="3" fontId="12" fillId="0" borderId="0" xfId="0" applyNumberFormat="1" applyFont="1" applyAlignment="1"/>
    <xf numFmtId="3" fontId="11" fillId="3" borderId="10" xfId="0" applyNumberFormat="1" applyFont="1" applyFill="1" applyBorder="1"/>
    <xf numFmtId="3" fontId="11" fillId="3" borderId="10" xfId="0" applyNumberFormat="1" applyFont="1" applyFill="1" applyBorder="1" applyAlignment="1"/>
    <xf numFmtId="0" fontId="9" fillId="0" borderId="0" xfId="0" applyFont="1"/>
    <xf numFmtId="0" fontId="13" fillId="0" borderId="0" xfId="0" applyFont="1" applyAlignment="1"/>
    <xf numFmtId="0" fontId="12" fillId="0" borderId="0" xfId="0" applyFont="1"/>
    <xf numFmtId="0" fontId="14" fillId="0" borderId="0" xfId="0" applyFont="1"/>
    <xf numFmtId="3" fontId="15" fillId="3" borderId="0" xfId="0" applyNumberFormat="1" applyFont="1" applyFill="1" applyAlignment="1"/>
    <xf numFmtId="3" fontId="15" fillId="3" borderId="10" xfId="0" applyNumberFormat="1" applyFont="1" applyFill="1" applyBorder="1"/>
    <xf numFmtId="3" fontId="15" fillId="3" borderId="10" xfId="0" applyNumberFormat="1" applyFont="1" applyFill="1" applyBorder="1" applyAlignment="1"/>
    <xf numFmtId="2" fontId="12" fillId="6" borderId="0" xfId="0" applyNumberFormat="1" applyFont="1" applyFill="1"/>
    <xf numFmtId="0" fontId="16" fillId="0" borderId="0" xfId="0" applyFont="1" applyAlignment="1"/>
    <xf numFmtId="0" fontId="17" fillId="5" borderId="0" xfId="0" applyFont="1" applyFill="1" applyAlignment="1"/>
    <xf numFmtId="10" fontId="12" fillId="0" borderId="0" xfId="0" applyNumberFormat="1" applyFont="1" applyAlignment="1"/>
    <xf numFmtId="0" fontId="18" fillId="0" borderId="0" xfId="0" applyFont="1" applyAlignment="1"/>
    <xf numFmtId="3" fontId="14" fillId="0" borderId="0" xfId="0" applyNumberFormat="1" applyFont="1" applyAlignment="1"/>
    <xf numFmtId="0" fontId="4" fillId="3" borderId="4" xfId="0" applyFont="1" applyFill="1" applyBorder="1" applyAlignment="1"/>
    <xf numFmtId="0" fontId="4" fillId="3" borderId="6" xfId="0" applyFont="1" applyFill="1" applyBorder="1" applyAlignment="1"/>
    <xf numFmtId="2" fontId="19" fillId="6" borderId="0" xfId="0" applyNumberFormat="1" applyFont="1" applyFill="1"/>
    <xf numFmtId="2" fontId="19" fillId="6" borderId="11" xfId="0" applyNumberFormat="1" applyFont="1" applyFill="1" applyBorder="1"/>
    <xf numFmtId="0" fontId="5" fillId="0" borderId="0" xfId="0" applyFont="1" applyAlignment="1"/>
    <xf numFmtId="0" fontId="20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10" fontId="22" fillId="0" borderId="16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0" fontId="5" fillId="0" borderId="0" xfId="0" applyNumberFormat="1" applyFont="1" applyAlignment="1"/>
    <xf numFmtId="0" fontId="21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165" fontId="5" fillId="0" borderId="0" xfId="0" applyNumberFormat="1" applyFont="1" applyAlignment="1"/>
    <xf numFmtId="10" fontId="5" fillId="0" borderId="25" xfId="0" applyNumberFormat="1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3" fontId="22" fillId="0" borderId="16" xfId="0" applyNumberFormat="1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10" fontId="3" fillId="0" borderId="0" xfId="0" applyNumberFormat="1" applyFont="1"/>
    <xf numFmtId="0" fontId="21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5" fontId="3" fillId="0" borderId="0" xfId="0" applyNumberFormat="1" applyFont="1"/>
    <xf numFmtId="0" fontId="24" fillId="6" borderId="11" xfId="0" applyFont="1" applyFill="1" applyBorder="1" applyAlignment="1">
      <alignment horizontal="left" vertical="center"/>
    </xf>
    <xf numFmtId="0" fontId="25" fillId="6" borderId="32" xfId="0" applyFont="1" applyFill="1" applyBorder="1" applyAlignment="1">
      <alignment horizontal="left" vertical="center"/>
    </xf>
    <xf numFmtId="2" fontId="25" fillId="6" borderId="11" xfId="0" applyNumberFormat="1" applyFont="1" applyFill="1" applyBorder="1" applyAlignment="1">
      <alignment horizontal="left" vertical="center"/>
    </xf>
    <xf numFmtId="0" fontId="25" fillId="6" borderId="9" xfId="0" applyFont="1" applyFill="1" applyBorder="1" applyAlignment="1">
      <alignment horizontal="left" vertical="center"/>
    </xf>
    <xf numFmtId="2" fontId="25" fillId="6" borderId="9" xfId="0" applyNumberFormat="1" applyFont="1" applyFill="1" applyBorder="1" applyAlignment="1">
      <alignment horizontal="left" vertical="center"/>
    </xf>
    <xf numFmtId="166" fontId="25" fillId="6" borderId="9" xfId="0" applyNumberFormat="1" applyFont="1" applyFill="1" applyBorder="1" applyAlignment="1">
      <alignment horizontal="left" vertical="center"/>
    </xf>
    <xf numFmtId="1" fontId="25" fillId="6" borderId="9" xfId="0" applyNumberFormat="1" applyFont="1" applyFill="1" applyBorder="1" applyAlignment="1">
      <alignment horizontal="left" vertical="center"/>
    </xf>
    <xf numFmtId="0" fontId="25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97"/>
  <sheetViews>
    <sheetView workbookViewId="0"/>
  </sheetViews>
  <sheetFormatPr defaultColWidth="12.5703125" defaultRowHeight="15.75" customHeight="1"/>
  <cols>
    <col min="1" max="1" width="17.28515625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 t="s">
        <v>13</v>
      </c>
    </row>
    <row r="2" spans="1:15">
      <c r="A2" s="5" t="s">
        <v>14</v>
      </c>
      <c r="B2" s="6">
        <v>8805368408</v>
      </c>
      <c r="C2" s="6">
        <v>5101649010</v>
      </c>
      <c r="D2" s="6">
        <v>8179666930</v>
      </c>
      <c r="E2" s="6">
        <v>7476521660</v>
      </c>
      <c r="F2" s="6">
        <v>6216517758</v>
      </c>
      <c r="G2" s="6">
        <v>5204163765</v>
      </c>
      <c r="H2" s="6">
        <v>5462216300</v>
      </c>
      <c r="I2" s="6">
        <v>6001211870</v>
      </c>
      <c r="J2" s="6">
        <v>5786293422</v>
      </c>
      <c r="K2" s="6">
        <v>7482413015</v>
      </c>
      <c r="L2" s="6">
        <v>9240890962</v>
      </c>
      <c r="M2" s="7">
        <v>4008123771</v>
      </c>
      <c r="N2" s="8">
        <f t="shared" ref="N2:N9" si="0">SUM(B2:M2)</f>
        <v>78965036871</v>
      </c>
    </row>
    <row r="3" spans="1:15">
      <c r="A3" s="5" t="s">
        <v>15</v>
      </c>
      <c r="B3" s="6">
        <v>2028617278</v>
      </c>
      <c r="C3" s="6">
        <v>1166884000</v>
      </c>
      <c r="D3" s="6">
        <v>1810419000</v>
      </c>
      <c r="E3" s="6">
        <v>1600227000</v>
      </c>
      <c r="F3" s="6">
        <v>599653000</v>
      </c>
      <c r="G3" s="6">
        <v>1126122100</v>
      </c>
      <c r="H3" s="6">
        <v>1387023200</v>
      </c>
      <c r="I3" s="6">
        <v>1493622000</v>
      </c>
      <c r="J3" s="6">
        <v>1440201972</v>
      </c>
      <c r="K3" s="6">
        <v>1938035000</v>
      </c>
      <c r="L3" s="6">
        <v>2308721000</v>
      </c>
      <c r="M3" s="7">
        <v>857998000</v>
      </c>
      <c r="N3" s="8">
        <f t="shared" si="0"/>
        <v>17757523550</v>
      </c>
    </row>
    <row r="4" spans="1:15">
      <c r="A4" s="5" t="s">
        <v>16</v>
      </c>
      <c r="B4" s="6">
        <v>1508324003</v>
      </c>
      <c r="C4" s="6">
        <v>690811000</v>
      </c>
      <c r="D4" s="6">
        <v>1361832000</v>
      </c>
      <c r="E4" s="6">
        <v>1325158000</v>
      </c>
      <c r="F4" s="6">
        <v>1557554200</v>
      </c>
      <c r="G4" s="6">
        <v>1014735000</v>
      </c>
      <c r="H4" s="6">
        <v>709608000</v>
      </c>
      <c r="I4" s="6">
        <v>1105113000</v>
      </c>
      <c r="J4" s="6">
        <v>908171000</v>
      </c>
      <c r="K4" s="6">
        <v>1118234280</v>
      </c>
      <c r="L4" s="6">
        <v>1212152800</v>
      </c>
      <c r="M4" s="7">
        <v>608340091</v>
      </c>
      <c r="N4" s="8">
        <f t="shared" si="0"/>
        <v>13120033374</v>
      </c>
    </row>
    <row r="5" spans="1:15">
      <c r="A5" s="5" t="s">
        <v>17</v>
      </c>
      <c r="B5" s="6">
        <v>1104601297</v>
      </c>
      <c r="C5" s="6">
        <v>645504100</v>
      </c>
      <c r="D5" s="6">
        <v>1042713000</v>
      </c>
      <c r="E5" s="6">
        <v>931754050</v>
      </c>
      <c r="F5" s="6">
        <v>946945600</v>
      </c>
      <c r="G5" s="6">
        <v>781483030</v>
      </c>
      <c r="H5" s="6">
        <v>743922050</v>
      </c>
      <c r="I5" s="6">
        <v>858818900</v>
      </c>
      <c r="J5" s="6">
        <v>842320700</v>
      </c>
      <c r="K5" s="6">
        <v>995976000</v>
      </c>
      <c r="L5" s="6">
        <v>1308029455</v>
      </c>
      <c r="M5" s="7">
        <v>553184727</v>
      </c>
      <c r="N5" s="8">
        <f t="shared" si="0"/>
        <v>10755252909</v>
      </c>
    </row>
    <row r="6" spans="1:15">
      <c r="A6" s="5" t="s">
        <v>18</v>
      </c>
      <c r="B6" s="6">
        <v>1138102916</v>
      </c>
      <c r="C6" s="6">
        <v>699988000</v>
      </c>
      <c r="D6" s="6">
        <v>970848300</v>
      </c>
      <c r="E6" s="6">
        <v>841440050</v>
      </c>
      <c r="F6" s="6">
        <v>773148950</v>
      </c>
      <c r="G6" s="6">
        <v>580595900</v>
      </c>
      <c r="H6" s="6">
        <v>542953300</v>
      </c>
      <c r="I6" s="6">
        <v>640902200</v>
      </c>
      <c r="J6" s="6">
        <v>556383590</v>
      </c>
      <c r="K6" s="6">
        <v>704094210</v>
      </c>
      <c r="L6" s="6">
        <v>947775250</v>
      </c>
      <c r="M6" s="7">
        <v>393273430</v>
      </c>
      <c r="N6" s="8">
        <f t="shared" si="0"/>
        <v>8789506096</v>
      </c>
    </row>
    <row r="7" spans="1:15">
      <c r="A7" s="5" t="s">
        <v>19</v>
      </c>
      <c r="B7" s="6">
        <v>1332513238</v>
      </c>
      <c r="C7" s="6">
        <v>772236150</v>
      </c>
      <c r="D7" s="6">
        <v>1216290700</v>
      </c>
      <c r="E7" s="6">
        <v>1188204250</v>
      </c>
      <c r="F7" s="6">
        <v>949115500</v>
      </c>
      <c r="G7" s="6">
        <v>610220275</v>
      </c>
      <c r="H7" s="6">
        <v>741189700</v>
      </c>
      <c r="I7" s="6">
        <v>701056900</v>
      </c>
      <c r="J7" s="6">
        <v>782850950</v>
      </c>
      <c r="K7" s="6">
        <v>1162890400</v>
      </c>
      <c r="L7" s="6">
        <v>1492033500</v>
      </c>
      <c r="M7" s="7">
        <v>672923950</v>
      </c>
      <c r="N7" s="8">
        <f t="shared" si="0"/>
        <v>11621525513</v>
      </c>
    </row>
    <row r="8" spans="1:15">
      <c r="A8" s="5" t="s">
        <v>20</v>
      </c>
      <c r="B8" s="6">
        <v>1111828995</v>
      </c>
      <c r="C8" s="6">
        <v>683523540</v>
      </c>
      <c r="D8" s="6">
        <v>1140297430</v>
      </c>
      <c r="E8" s="6">
        <v>1003903745</v>
      </c>
      <c r="F8" s="6">
        <v>860613478</v>
      </c>
      <c r="G8" s="6">
        <v>687032350</v>
      </c>
      <c r="H8" s="6">
        <v>882608550</v>
      </c>
      <c r="I8" s="6">
        <v>806359450</v>
      </c>
      <c r="J8" s="6">
        <v>803998800</v>
      </c>
      <c r="K8" s="6">
        <v>1047634585</v>
      </c>
      <c r="L8" s="6">
        <v>1296142757</v>
      </c>
      <c r="M8" s="7">
        <v>629067743</v>
      </c>
      <c r="N8" s="8">
        <f t="shared" si="0"/>
        <v>10953011423</v>
      </c>
    </row>
    <row r="9" spans="1:15">
      <c r="A9" s="9" t="s">
        <v>21</v>
      </c>
      <c r="B9" s="10">
        <v>584572681</v>
      </c>
      <c r="C9" s="10">
        <v>442702220</v>
      </c>
      <c r="D9" s="10">
        <v>637266500</v>
      </c>
      <c r="E9" s="10">
        <v>585834565</v>
      </c>
      <c r="F9" s="10">
        <v>529487030</v>
      </c>
      <c r="G9" s="10">
        <v>403975110</v>
      </c>
      <c r="H9" s="10">
        <v>454911500</v>
      </c>
      <c r="I9" s="10">
        <v>395339420</v>
      </c>
      <c r="J9" s="10">
        <v>452366410</v>
      </c>
      <c r="K9" s="10">
        <v>515548540</v>
      </c>
      <c r="L9" s="10">
        <v>676036200</v>
      </c>
      <c r="M9" s="11">
        <v>293335830</v>
      </c>
      <c r="N9" s="8">
        <f t="shared" si="0"/>
        <v>5971376006</v>
      </c>
    </row>
    <row r="10" spans="1:15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5">
      <c r="A11" s="1" t="s">
        <v>22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3" t="s">
        <v>12</v>
      </c>
      <c r="O11" s="8">
        <f>35100540087+N2+N64</f>
        <v>131933668835</v>
      </c>
    </row>
    <row r="12" spans="1:15">
      <c r="A12" s="5" t="s">
        <v>14</v>
      </c>
      <c r="B12" s="6">
        <v>1880743289</v>
      </c>
      <c r="C12" s="6">
        <v>1076046400</v>
      </c>
      <c r="D12" s="6">
        <v>1842654700</v>
      </c>
      <c r="E12" s="6">
        <v>1661413350</v>
      </c>
      <c r="F12" s="6">
        <v>1336273935</v>
      </c>
      <c r="G12" s="6">
        <v>1152032750</v>
      </c>
      <c r="H12" s="6">
        <v>1170221100</v>
      </c>
      <c r="I12" s="6">
        <v>1222467150</v>
      </c>
      <c r="J12" s="6">
        <v>1240704200</v>
      </c>
      <c r="K12" s="6">
        <v>1699301585</v>
      </c>
      <c r="L12" s="6">
        <v>2129119627</v>
      </c>
      <c r="M12" s="7">
        <v>835281641</v>
      </c>
      <c r="N12" s="13">
        <f t="shared" ref="N12:N19" si="1">M12/L12</f>
        <v>0.39231315629593788</v>
      </c>
    </row>
    <row r="13" spans="1:15">
      <c r="A13" s="5" t="s">
        <v>15</v>
      </c>
      <c r="B13" s="6">
        <v>384448000</v>
      </c>
      <c r="C13" s="6">
        <v>249341000</v>
      </c>
      <c r="D13" s="6">
        <v>331232000</v>
      </c>
      <c r="E13" s="6">
        <v>360332000</v>
      </c>
      <c r="F13" s="6">
        <v>148100000</v>
      </c>
      <c r="G13" s="6">
        <v>303023100</v>
      </c>
      <c r="H13" s="6">
        <v>323710000</v>
      </c>
      <c r="I13" s="6">
        <v>335439000</v>
      </c>
      <c r="J13" s="6">
        <v>383945000</v>
      </c>
      <c r="K13" s="6">
        <v>450259000</v>
      </c>
      <c r="L13" s="6">
        <v>523026000</v>
      </c>
      <c r="M13" s="7">
        <v>168395000</v>
      </c>
      <c r="N13" s="13">
        <f t="shared" si="1"/>
        <v>0.32196296168832905</v>
      </c>
    </row>
    <row r="14" spans="1:15">
      <c r="A14" s="5" t="s">
        <v>16</v>
      </c>
      <c r="B14" s="6">
        <v>330577000</v>
      </c>
      <c r="C14" s="6">
        <v>129293000</v>
      </c>
      <c r="D14" s="6">
        <v>320006000</v>
      </c>
      <c r="E14" s="6">
        <v>285569000</v>
      </c>
      <c r="F14" s="6">
        <v>267029000</v>
      </c>
      <c r="G14" s="6">
        <v>200289000</v>
      </c>
      <c r="H14" s="6">
        <v>140695000</v>
      </c>
      <c r="I14" s="6">
        <v>244035000</v>
      </c>
      <c r="J14" s="6">
        <v>152822000</v>
      </c>
      <c r="K14" s="6">
        <v>226226000</v>
      </c>
      <c r="L14" s="6">
        <v>221560700</v>
      </c>
      <c r="M14" s="7">
        <v>161168000</v>
      </c>
      <c r="N14" s="13">
        <f t="shared" si="1"/>
        <v>0.72742142446742586</v>
      </c>
    </row>
    <row r="15" spans="1:15">
      <c r="A15" s="5" t="s">
        <v>17</v>
      </c>
      <c r="B15" s="6">
        <v>240191999</v>
      </c>
      <c r="C15" s="6">
        <v>133646100</v>
      </c>
      <c r="D15" s="6">
        <v>248432000</v>
      </c>
      <c r="E15" s="6">
        <v>197878000</v>
      </c>
      <c r="F15" s="6">
        <v>177599000</v>
      </c>
      <c r="G15" s="6">
        <v>167043000</v>
      </c>
      <c r="H15" s="6">
        <v>145892000</v>
      </c>
      <c r="I15" s="6">
        <v>127040000</v>
      </c>
      <c r="J15" s="6">
        <v>164174500</v>
      </c>
      <c r="K15" s="6">
        <v>239784000</v>
      </c>
      <c r="L15" s="6">
        <v>322095364</v>
      </c>
      <c r="M15" s="7">
        <v>110803364</v>
      </c>
      <c r="N15" s="13">
        <f t="shared" si="1"/>
        <v>0.3440079441814009</v>
      </c>
    </row>
    <row r="16" spans="1:15">
      <c r="A16" s="5" t="s">
        <v>18</v>
      </c>
      <c r="B16" s="6">
        <v>166635200</v>
      </c>
      <c r="C16" s="6">
        <v>68989300</v>
      </c>
      <c r="D16" s="6">
        <v>126783000</v>
      </c>
      <c r="E16" s="6">
        <v>136438000</v>
      </c>
      <c r="F16" s="6">
        <v>119148750</v>
      </c>
      <c r="G16" s="6">
        <v>81999000</v>
      </c>
      <c r="H16" s="6">
        <v>76154000</v>
      </c>
      <c r="I16" s="6">
        <v>67411000</v>
      </c>
      <c r="J16" s="6">
        <v>84602250</v>
      </c>
      <c r="K16" s="6">
        <v>102942650</v>
      </c>
      <c r="L16" s="6">
        <v>169258700</v>
      </c>
      <c r="M16" s="7">
        <v>30700050</v>
      </c>
      <c r="N16" s="13">
        <f t="shared" si="1"/>
        <v>0.18137945050978177</v>
      </c>
    </row>
    <row r="17" spans="1:16">
      <c r="A17" s="5" t="s">
        <v>19</v>
      </c>
      <c r="B17" s="6">
        <v>365242540</v>
      </c>
      <c r="C17" s="6">
        <v>179554400</v>
      </c>
      <c r="D17" s="6">
        <v>375757800</v>
      </c>
      <c r="E17" s="6">
        <v>268378800</v>
      </c>
      <c r="F17" s="6">
        <v>241611950</v>
      </c>
      <c r="G17" s="6">
        <v>139370400</v>
      </c>
      <c r="H17" s="6">
        <v>145777950</v>
      </c>
      <c r="I17" s="6">
        <v>173520400</v>
      </c>
      <c r="J17" s="6">
        <v>189515400</v>
      </c>
      <c r="K17" s="6">
        <v>249324650</v>
      </c>
      <c r="L17" s="6">
        <v>359850214</v>
      </c>
      <c r="M17" s="7">
        <v>154020800</v>
      </c>
      <c r="N17" s="13">
        <f t="shared" si="1"/>
        <v>0.42801364014195081</v>
      </c>
      <c r="P17" s="14"/>
    </row>
    <row r="18" spans="1:16">
      <c r="A18" s="5" t="s">
        <v>20</v>
      </c>
      <c r="B18" s="6">
        <v>289936850</v>
      </c>
      <c r="C18" s="6">
        <v>183231300</v>
      </c>
      <c r="D18" s="6">
        <v>303798000</v>
      </c>
      <c r="E18" s="6">
        <v>293124500</v>
      </c>
      <c r="F18" s="6">
        <v>244990485</v>
      </c>
      <c r="G18" s="6">
        <v>181307350</v>
      </c>
      <c r="H18" s="6">
        <v>239624900</v>
      </c>
      <c r="I18" s="6">
        <v>208812500</v>
      </c>
      <c r="J18" s="6">
        <v>190949100</v>
      </c>
      <c r="K18" s="6">
        <v>306403085</v>
      </c>
      <c r="L18" s="6">
        <v>370118950</v>
      </c>
      <c r="M18" s="7">
        <v>157976877</v>
      </c>
      <c r="N18" s="13">
        <f t="shared" si="1"/>
        <v>0.42682731321916911</v>
      </c>
    </row>
    <row r="19" spans="1:16">
      <c r="A19" s="9" t="s">
        <v>21</v>
      </c>
      <c r="B19" s="10">
        <v>103711700</v>
      </c>
      <c r="C19" s="10">
        <v>131991300</v>
      </c>
      <c r="D19" s="10">
        <v>136645900</v>
      </c>
      <c r="E19" s="10">
        <v>119693050</v>
      </c>
      <c r="F19" s="10">
        <v>137794750</v>
      </c>
      <c r="G19" s="10">
        <v>79000900</v>
      </c>
      <c r="H19" s="10">
        <v>98367250</v>
      </c>
      <c r="I19" s="10">
        <v>66209250</v>
      </c>
      <c r="J19" s="10">
        <v>74695950</v>
      </c>
      <c r="K19" s="10">
        <v>124362200</v>
      </c>
      <c r="L19" s="10">
        <v>163209700</v>
      </c>
      <c r="M19" s="11">
        <v>52217550</v>
      </c>
      <c r="N19" s="13">
        <f t="shared" si="1"/>
        <v>0.31994146181262512</v>
      </c>
    </row>
    <row r="20" spans="1:16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6">
      <c r="A21" s="1" t="s">
        <v>23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  <c r="L21" s="2" t="s">
        <v>11</v>
      </c>
      <c r="M21" s="3" t="s">
        <v>12</v>
      </c>
    </row>
    <row r="22" spans="1:16">
      <c r="A22" s="5" t="s">
        <v>14</v>
      </c>
      <c r="B22" s="15">
        <f t="shared" ref="B22:M22" si="2">B12/B2</f>
        <v>0.213590528170437</v>
      </c>
      <c r="C22" s="15">
        <f t="shared" si="2"/>
        <v>0.21092129189812689</v>
      </c>
      <c r="D22" s="15">
        <f t="shared" si="2"/>
        <v>0.22527258331776598</v>
      </c>
      <c r="E22" s="15">
        <f t="shared" si="2"/>
        <v>0.22221741948380846</v>
      </c>
      <c r="F22" s="15">
        <f t="shared" si="2"/>
        <v>0.2149553796866995</v>
      </c>
      <c r="G22" s="15">
        <f t="shared" si="2"/>
        <v>0.22136750533253061</v>
      </c>
      <c r="H22" s="15">
        <f t="shared" si="2"/>
        <v>0.21423924570691205</v>
      </c>
      <c r="I22" s="15">
        <f t="shared" si="2"/>
        <v>0.2037033813305445</v>
      </c>
      <c r="J22" s="15">
        <f t="shared" si="2"/>
        <v>0.21442123817688413</v>
      </c>
      <c r="K22" s="15">
        <f t="shared" si="2"/>
        <v>0.22710609285980454</v>
      </c>
      <c r="L22" s="15">
        <f t="shared" si="2"/>
        <v>0.23040198566948528</v>
      </c>
      <c r="M22" s="16">
        <f t="shared" si="2"/>
        <v>0.20839716753347734</v>
      </c>
    </row>
    <row r="23" spans="1:16">
      <c r="A23" s="5" t="s">
        <v>15</v>
      </c>
      <c r="B23" s="15">
        <f t="shared" ref="B23:M23" si="3">B13/B3</f>
        <v>0.18951233639251297</v>
      </c>
      <c r="C23" s="15">
        <f t="shared" si="3"/>
        <v>0.21368105141556487</v>
      </c>
      <c r="D23" s="15">
        <f t="shared" si="3"/>
        <v>0.18295875153762747</v>
      </c>
      <c r="E23" s="15">
        <f t="shared" si="3"/>
        <v>0.22517555321838714</v>
      </c>
      <c r="F23" s="15">
        <f t="shared" si="3"/>
        <v>0.24697616788375945</v>
      </c>
      <c r="G23" s="15">
        <f t="shared" si="3"/>
        <v>0.2690854748343896</v>
      </c>
      <c r="H23" s="15">
        <f t="shared" si="3"/>
        <v>0.23338470474033887</v>
      </c>
      <c r="I23" s="15">
        <f t="shared" si="3"/>
        <v>0.22458091806360644</v>
      </c>
      <c r="J23" s="15">
        <f t="shared" si="3"/>
        <v>0.26659108060157549</v>
      </c>
      <c r="K23" s="15">
        <f t="shared" si="3"/>
        <v>0.23232758954301652</v>
      </c>
      <c r="L23" s="15">
        <f t="shared" si="3"/>
        <v>0.22654361440815066</v>
      </c>
      <c r="M23" s="16">
        <f t="shared" si="3"/>
        <v>0.19626502625880246</v>
      </c>
      <c r="N23" s="17">
        <v>0.28699999999999998</v>
      </c>
    </row>
    <row r="24" spans="1:16">
      <c r="A24" s="5" t="s">
        <v>16</v>
      </c>
      <c r="B24" s="15">
        <f t="shared" ref="B24:M24" si="4">B14/B4</f>
        <v>0.21916842756761459</v>
      </c>
      <c r="C24" s="15">
        <f t="shared" si="4"/>
        <v>0.1871611772250297</v>
      </c>
      <c r="D24" s="15">
        <f t="shared" si="4"/>
        <v>0.23498199484224191</v>
      </c>
      <c r="E24" s="15">
        <f t="shared" si="4"/>
        <v>0.21549807645578867</v>
      </c>
      <c r="F24" s="15">
        <f t="shared" si="4"/>
        <v>0.17144122496668174</v>
      </c>
      <c r="G24" s="15">
        <f t="shared" si="4"/>
        <v>0.19738059690461057</v>
      </c>
      <c r="H24" s="15">
        <f t="shared" si="4"/>
        <v>0.19827144000631333</v>
      </c>
      <c r="I24" s="15">
        <f t="shared" si="4"/>
        <v>0.22082357188812365</v>
      </c>
      <c r="J24" s="15">
        <f t="shared" si="4"/>
        <v>0.16827447694321884</v>
      </c>
      <c r="K24" s="15">
        <f t="shared" si="4"/>
        <v>0.20230644333314482</v>
      </c>
      <c r="L24" s="15">
        <f t="shared" si="4"/>
        <v>0.18278281417986247</v>
      </c>
      <c r="M24" s="16">
        <f t="shared" si="4"/>
        <v>0.26493075564865248</v>
      </c>
      <c r="N24" s="17">
        <v>0.23899999999999999</v>
      </c>
    </row>
    <row r="25" spans="1:16">
      <c r="A25" s="5" t="s">
        <v>17</v>
      </c>
      <c r="B25" s="15">
        <f t="shared" ref="B25:M25" si="5">B15/B5</f>
        <v>0.21744678342524162</v>
      </c>
      <c r="C25" s="15">
        <f t="shared" si="5"/>
        <v>0.20704144249432344</v>
      </c>
      <c r="D25" s="15">
        <f t="shared" si="5"/>
        <v>0.23825539721860187</v>
      </c>
      <c r="E25" s="15">
        <f t="shared" si="5"/>
        <v>0.21237149438738689</v>
      </c>
      <c r="F25" s="15">
        <f t="shared" si="5"/>
        <v>0.18754931645492623</v>
      </c>
      <c r="G25" s="15">
        <f t="shared" si="5"/>
        <v>0.2137512826094253</v>
      </c>
      <c r="H25" s="15">
        <f t="shared" si="5"/>
        <v>0.19611194479314062</v>
      </c>
      <c r="I25" s="15">
        <f t="shared" si="5"/>
        <v>0.14792408504284199</v>
      </c>
      <c r="J25" s="15">
        <f t="shared" si="5"/>
        <v>0.19490735535764467</v>
      </c>
      <c r="K25" s="15">
        <f t="shared" si="5"/>
        <v>0.24075278922383672</v>
      </c>
      <c r="L25" s="15">
        <f t="shared" si="5"/>
        <v>0.24624473307445513</v>
      </c>
      <c r="M25" s="16">
        <f t="shared" si="5"/>
        <v>0.20030083730059309</v>
      </c>
      <c r="N25" s="17">
        <v>0.25800000000000001</v>
      </c>
    </row>
    <row r="26" spans="1:16">
      <c r="A26" s="5" t="s">
        <v>18</v>
      </c>
      <c r="B26" s="15">
        <f t="shared" ref="B26:M26" si="6">B16/B6</f>
        <v>0.14641487835358469</v>
      </c>
      <c r="C26" s="15">
        <f t="shared" si="6"/>
        <v>9.8557832419984337E-2</v>
      </c>
      <c r="D26" s="15">
        <f t="shared" si="6"/>
        <v>0.13058991811594045</v>
      </c>
      <c r="E26" s="15">
        <f t="shared" si="6"/>
        <v>0.16214821246029351</v>
      </c>
      <c r="F26" s="15">
        <f t="shared" si="6"/>
        <v>0.15410840304445864</v>
      </c>
      <c r="G26" s="15">
        <f t="shared" si="6"/>
        <v>0.14123248200684849</v>
      </c>
      <c r="H26" s="15">
        <f t="shared" si="6"/>
        <v>0.14025883994074628</v>
      </c>
      <c r="I26" s="15">
        <f t="shared" si="6"/>
        <v>0.10518141457464181</v>
      </c>
      <c r="J26" s="15">
        <f t="shared" si="6"/>
        <v>0.1520574142023132</v>
      </c>
      <c r="K26" s="15">
        <f t="shared" si="6"/>
        <v>0.14620578970532935</v>
      </c>
      <c r="L26" s="15">
        <f t="shared" si="6"/>
        <v>0.1785852711389119</v>
      </c>
      <c r="M26" s="16">
        <f t="shared" si="6"/>
        <v>7.8062863285729728E-2</v>
      </c>
      <c r="N26" s="17">
        <v>0.18099999999999999</v>
      </c>
    </row>
    <row r="27" spans="1:16">
      <c r="A27" s="5" t="s">
        <v>19</v>
      </c>
      <c r="B27" s="15">
        <f t="shared" ref="B27:M27" si="7">B17/B7</f>
        <v>0.27410049640347361</v>
      </c>
      <c r="C27" s="15">
        <f t="shared" si="7"/>
        <v>0.23251229562356024</v>
      </c>
      <c r="D27" s="15">
        <f t="shared" si="7"/>
        <v>0.30893749331471498</v>
      </c>
      <c r="E27" s="15">
        <f t="shared" si="7"/>
        <v>0.22586924764828942</v>
      </c>
      <c r="F27" s="15">
        <f t="shared" si="7"/>
        <v>0.25456538219004959</v>
      </c>
      <c r="G27" s="15">
        <f t="shared" si="7"/>
        <v>0.22839359115034322</v>
      </c>
      <c r="H27" s="15">
        <f t="shared" si="7"/>
        <v>0.19668102511408347</v>
      </c>
      <c r="I27" s="15">
        <f t="shared" si="7"/>
        <v>0.24751257708183172</v>
      </c>
      <c r="J27" s="15">
        <f t="shared" si="7"/>
        <v>0.24208363035134595</v>
      </c>
      <c r="K27" s="15">
        <f t="shared" si="7"/>
        <v>0.21440081541648293</v>
      </c>
      <c r="L27" s="15">
        <f t="shared" si="7"/>
        <v>0.24118105525110528</v>
      </c>
      <c r="M27" s="16">
        <f t="shared" si="7"/>
        <v>0.22888292205976618</v>
      </c>
      <c r="N27" s="17">
        <v>0.28199999999999997</v>
      </c>
    </row>
    <row r="28" spans="1:16">
      <c r="A28" s="5" t="s">
        <v>20</v>
      </c>
      <c r="B28" s="15">
        <f t="shared" ref="B28:M28" si="8">B18/B8</f>
        <v>0.2607746796529623</v>
      </c>
      <c r="C28" s="15">
        <f t="shared" si="8"/>
        <v>0.26806874859057522</v>
      </c>
      <c r="D28" s="15">
        <f t="shared" si="8"/>
        <v>0.2664199637808532</v>
      </c>
      <c r="E28" s="15">
        <f t="shared" si="8"/>
        <v>0.29198466631878139</v>
      </c>
      <c r="F28" s="15">
        <f t="shared" si="8"/>
        <v>0.28466958891852262</v>
      </c>
      <c r="G28" s="15">
        <f t="shared" si="8"/>
        <v>0.26389929091403047</v>
      </c>
      <c r="H28" s="15">
        <f t="shared" si="8"/>
        <v>0.27149623692179281</v>
      </c>
      <c r="I28" s="15">
        <f t="shared" si="8"/>
        <v>0.25895709413463192</v>
      </c>
      <c r="J28" s="15">
        <f t="shared" si="8"/>
        <v>0.23749923507348519</v>
      </c>
      <c r="K28" s="15">
        <f t="shared" si="8"/>
        <v>0.29247133436321215</v>
      </c>
      <c r="L28" s="15">
        <f t="shared" si="8"/>
        <v>0.28555415520483446</v>
      </c>
      <c r="M28" s="16">
        <f t="shared" si="8"/>
        <v>0.25112856088696317</v>
      </c>
      <c r="N28" s="17">
        <v>0.16800000000000001</v>
      </c>
    </row>
    <row r="29" spans="1:16">
      <c r="A29" s="9" t="s">
        <v>21</v>
      </c>
      <c r="B29" s="18">
        <f t="shared" ref="B29:M29" si="9">B19/B9</f>
        <v>0.17741455146789523</v>
      </c>
      <c r="C29" s="18">
        <f t="shared" si="9"/>
        <v>0.29814917124201457</v>
      </c>
      <c r="D29" s="18">
        <f t="shared" si="9"/>
        <v>0.21442504823335293</v>
      </c>
      <c r="E29" s="18">
        <f t="shared" si="9"/>
        <v>0.20431203133259984</v>
      </c>
      <c r="F29" s="18">
        <f t="shared" si="9"/>
        <v>0.26024197419906586</v>
      </c>
      <c r="G29" s="18">
        <f t="shared" si="9"/>
        <v>0.19555883034477051</v>
      </c>
      <c r="H29" s="18">
        <f t="shared" si="9"/>
        <v>0.21623381690724461</v>
      </c>
      <c r="I29" s="18">
        <f t="shared" si="9"/>
        <v>0.1674744451236358</v>
      </c>
      <c r="J29" s="18">
        <f t="shared" si="9"/>
        <v>0.16512267124342853</v>
      </c>
      <c r="K29" s="18">
        <f t="shared" si="9"/>
        <v>0.24122306698802792</v>
      </c>
      <c r="L29" s="18">
        <f t="shared" si="9"/>
        <v>0.2414215392607674</v>
      </c>
      <c r="M29" s="19">
        <f t="shared" si="9"/>
        <v>0.1780128598678177</v>
      </c>
      <c r="N29" s="17">
        <v>0.159</v>
      </c>
    </row>
    <row r="30" spans="1:16">
      <c r="A30" s="20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6"/>
    </row>
    <row r="31" spans="1:16">
      <c r="A31" s="1" t="s">
        <v>24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8</v>
      </c>
      <c r="J31" s="2" t="s">
        <v>9</v>
      </c>
      <c r="K31" s="2" t="s">
        <v>10</v>
      </c>
      <c r="L31" s="2" t="s">
        <v>11</v>
      </c>
      <c r="M31" s="3" t="s">
        <v>12</v>
      </c>
    </row>
    <row r="32" spans="1:16">
      <c r="A32" s="5" t="s">
        <v>14</v>
      </c>
      <c r="B32" s="6">
        <v>3371</v>
      </c>
      <c r="C32" s="6">
        <v>2245</v>
      </c>
      <c r="D32" s="6">
        <v>3331</v>
      </c>
      <c r="E32" s="6">
        <v>3316</v>
      </c>
      <c r="F32" s="6">
        <v>2904</v>
      </c>
      <c r="G32" s="6">
        <v>2451</v>
      </c>
      <c r="H32" s="6">
        <v>2548</v>
      </c>
      <c r="I32" s="6">
        <v>2694</v>
      </c>
      <c r="J32" s="6">
        <v>2473</v>
      </c>
      <c r="K32" s="6">
        <v>3164</v>
      </c>
      <c r="L32" s="6">
        <v>3621</v>
      </c>
      <c r="M32" s="7">
        <v>1664</v>
      </c>
    </row>
    <row r="33" spans="1:13">
      <c r="A33" s="5" t="s">
        <v>15</v>
      </c>
      <c r="B33" s="21">
        <v>692</v>
      </c>
      <c r="C33" s="6">
        <v>429</v>
      </c>
      <c r="D33" s="21">
        <v>651</v>
      </c>
      <c r="E33" s="21">
        <v>653</v>
      </c>
      <c r="F33" s="21">
        <v>279</v>
      </c>
      <c r="G33" s="21">
        <v>506</v>
      </c>
      <c r="H33" s="21">
        <v>561</v>
      </c>
      <c r="I33" s="21">
        <v>576</v>
      </c>
      <c r="J33" s="21">
        <v>551</v>
      </c>
      <c r="K33" s="21">
        <v>711</v>
      </c>
      <c r="L33" s="21">
        <v>804</v>
      </c>
      <c r="M33" s="22">
        <v>352</v>
      </c>
    </row>
    <row r="34" spans="1:13">
      <c r="A34" s="5" t="s">
        <v>16</v>
      </c>
      <c r="B34" s="21">
        <v>516</v>
      </c>
      <c r="C34" s="6">
        <v>312</v>
      </c>
      <c r="D34" s="21">
        <v>549</v>
      </c>
      <c r="E34" s="21">
        <v>529</v>
      </c>
      <c r="F34" s="21">
        <v>616</v>
      </c>
      <c r="G34" s="21">
        <v>408</v>
      </c>
      <c r="H34" s="21">
        <v>337</v>
      </c>
      <c r="I34" s="21">
        <v>431</v>
      </c>
      <c r="J34" s="21">
        <v>328</v>
      </c>
      <c r="K34" s="21">
        <v>425</v>
      </c>
      <c r="L34" s="21">
        <v>458</v>
      </c>
      <c r="M34" s="22">
        <v>247</v>
      </c>
    </row>
    <row r="35" spans="1:13">
      <c r="A35" s="5" t="s">
        <v>17</v>
      </c>
      <c r="B35" s="21">
        <v>522</v>
      </c>
      <c r="C35" s="6">
        <v>353</v>
      </c>
      <c r="D35" s="21">
        <v>526</v>
      </c>
      <c r="E35" s="21">
        <v>496</v>
      </c>
      <c r="F35" s="21">
        <v>482</v>
      </c>
      <c r="G35" s="21">
        <v>403</v>
      </c>
      <c r="H35" s="21">
        <v>397</v>
      </c>
      <c r="I35" s="21">
        <v>449</v>
      </c>
      <c r="J35" s="21">
        <v>411</v>
      </c>
      <c r="K35" s="21">
        <v>524</v>
      </c>
      <c r="L35" s="21">
        <v>600</v>
      </c>
      <c r="M35" s="22">
        <v>258</v>
      </c>
    </row>
    <row r="36" spans="1:13">
      <c r="A36" s="5" t="s">
        <v>18</v>
      </c>
      <c r="B36" s="21">
        <v>383</v>
      </c>
      <c r="C36" s="6">
        <v>290</v>
      </c>
      <c r="D36" s="21">
        <v>358</v>
      </c>
      <c r="E36" s="21">
        <v>360</v>
      </c>
      <c r="F36" s="21">
        <v>358</v>
      </c>
      <c r="G36" s="21">
        <v>264</v>
      </c>
      <c r="H36" s="21">
        <v>274</v>
      </c>
      <c r="I36" s="21">
        <v>291</v>
      </c>
      <c r="J36" s="21">
        <v>255</v>
      </c>
      <c r="K36" s="21">
        <v>297</v>
      </c>
      <c r="L36" s="21">
        <v>342</v>
      </c>
      <c r="M36" s="22">
        <v>141</v>
      </c>
    </row>
    <row r="37" spans="1:13">
      <c r="A37" s="5" t="s">
        <v>19</v>
      </c>
      <c r="B37" s="21">
        <v>616</v>
      </c>
      <c r="C37" s="6">
        <v>382</v>
      </c>
      <c r="D37" s="21">
        <v>562</v>
      </c>
      <c r="E37" s="21">
        <v>593</v>
      </c>
      <c r="F37" s="21">
        <v>556</v>
      </c>
      <c r="G37" s="21">
        <v>387</v>
      </c>
      <c r="H37" s="21">
        <v>416</v>
      </c>
      <c r="I37" s="21">
        <v>414</v>
      </c>
      <c r="J37" s="21">
        <v>409</v>
      </c>
      <c r="K37" s="21">
        <v>527</v>
      </c>
      <c r="L37" s="21">
        <v>651</v>
      </c>
      <c r="M37" s="22">
        <v>298</v>
      </c>
    </row>
    <row r="38" spans="1:13">
      <c r="A38" s="5" t="s">
        <v>20</v>
      </c>
      <c r="B38" s="21">
        <v>429</v>
      </c>
      <c r="C38" s="6">
        <v>280</v>
      </c>
      <c r="D38" s="21">
        <v>431</v>
      </c>
      <c r="E38" s="21">
        <v>448</v>
      </c>
      <c r="F38" s="21">
        <v>384</v>
      </c>
      <c r="G38" s="21">
        <v>312</v>
      </c>
      <c r="H38" s="21">
        <v>339</v>
      </c>
      <c r="I38" s="21">
        <v>349</v>
      </c>
      <c r="J38" s="21">
        <v>300</v>
      </c>
      <c r="K38" s="21">
        <v>431</v>
      </c>
      <c r="L38" s="21">
        <v>501</v>
      </c>
      <c r="M38" s="22">
        <v>240</v>
      </c>
    </row>
    <row r="39" spans="1:13">
      <c r="A39" s="9" t="s">
        <v>21</v>
      </c>
      <c r="B39" s="23">
        <v>261</v>
      </c>
      <c r="C39" s="10">
        <v>222</v>
      </c>
      <c r="D39" s="23">
        <v>302</v>
      </c>
      <c r="E39" s="23">
        <v>277</v>
      </c>
      <c r="F39" s="23">
        <v>255</v>
      </c>
      <c r="G39" s="23">
        <v>215</v>
      </c>
      <c r="H39" s="23">
        <v>243</v>
      </c>
      <c r="I39" s="23">
        <v>213</v>
      </c>
      <c r="J39" s="23">
        <v>241</v>
      </c>
      <c r="K39" s="23">
        <v>282</v>
      </c>
      <c r="L39" s="23">
        <v>300</v>
      </c>
      <c r="M39" s="24">
        <v>142</v>
      </c>
    </row>
    <row r="40" spans="1:13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>
      <c r="A41" s="1" t="s">
        <v>25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11</v>
      </c>
      <c r="M41" s="3" t="s">
        <v>12</v>
      </c>
    </row>
    <row r="42" spans="1:13">
      <c r="A42" s="5" t="s">
        <v>14</v>
      </c>
      <c r="B42" s="21">
        <v>907</v>
      </c>
      <c r="C42" s="6">
        <v>571</v>
      </c>
      <c r="D42" s="21">
        <v>908</v>
      </c>
      <c r="E42" s="21">
        <v>924</v>
      </c>
      <c r="F42" s="21">
        <v>747</v>
      </c>
      <c r="G42" s="21">
        <v>582</v>
      </c>
      <c r="H42" s="21">
        <v>635</v>
      </c>
      <c r="I42" s="21">
        <v>634</v>
      </c>
      <c r="J42" s="21">
        <v>626</v>
      </c>
      <c r="K42" s="21">
        <v>889</v>
      </c>
      <c r="L42" s="21">
        <v>1005</v>
      </c>
      <c r="M42" s="22">
        <v>403</v>
      </c>
    </row>
    <row r="43" spans="1:13">
      <c r="A43" s="5" t="s">
        <v>15</v>
      </c>
      <c r="B43" s="21">
        <v>170</v>
      </c>
      <c r="C43" s="6">
        <v>100</v>
      </c>
      <c r="D43" s="21">
        <v>149</v>
      </c>
      <c r="E43" s="21">
        <v>167</v>
      </c>
      <c r="F43" s="21">
        <v>75</v>
      </c>
      <c r="G43" s="21">
        <v>139</v>
      </c>
      <c r="H43" s="21">
        <v>156</v>
      </c>
      <c r="I43" s="21">
        <v>145</v>
      </c>
      <c r="J43" s="21">
        <v>162</v>
      </c>
      <c r="K43" s="21">
        <v>208</v>
      </c>
      <c r="L43" s="21">
        <v>221</v>
      </c>
      <c r="M43" s="22">
        <v>83</v>
      </c>
    </row>
    <row r="44" spans="1:13">
      <c r="A44" s="5" t="s">
        <v>16</v>
      </c>
      <c r="B44" s="21">
        <v>121</v>
      </c>
      <c r="C44" s="6">
        <v>71</v>
      </c>
      <c r="D44" s="21">
        <v>137</v>
      </c>
      <c r="E44" s="21">
        <v>141</v>
      </c>
      <c r="F44" s="21">
        <v>123</v>
      </c>
      <c r="G44" s="21">
        <v>75</v>
      </c>
      <c r="H44" s="21">
        <v>71</v>
      </c>
      <c r="I44" s="21">
        <v>96</v>
      </c>
      <c r="J44" s="21">
        <v>69</v>
      </c>
      <c r="K44" s="21">
        <v>109</v>
      </c>
      <c r="L44" s="21">
        <v>107</v>
      </c>
      <c r="M44" s="22">
        <v>70</v>
      </c>
    </row>
    <row r="45" spans="1:13">
      <c r="A45" s="5" t="s">
        <v>17</v>
      </c>
      <c r="B45" s="21">
        <v>139</v>
      </c>
      <c r="C45" s="6">
        <v>93</v>
      </c>
      <c r="D45" s="21">
        <v>146</v>
      </c>
      <c r="E45" s="21">
        <v>131</v>
      </c>
      <c r="F45" s="21">
        <v>125</v>
      </c>
      <c r="G45" s="21">
        <v>93</v>
      </c>
      <c r="H45" s="21">
        <v>88</v>
      </c>
      <c r="I45" s="21">
        <v>95</v>
      </c>
      <c r="J45" s="21">
        <v>96</v>
      </c>
      <c r="K45" s="21">
        <v>139</v>
      </c>
      <c r="L45" s="21">
        <v>181</v>
      </c>
      <c r="M45" s="22">
        <v>56</v>
      </c>
    </row>
    <row r="46" spans="1:13">
      <c r="A46" s="5" t="s">
        <v>18</v>
      </c>
      <c r="B46" s="21">
        <v>84</v>
      </c>
      <c r="C46" s="6">
        <v>40</v>
      </c>
      <c r="D46" s="21">
        <v>69</v>
      </c>
      <c r="E46" s="21">
        <v>76</v>
      </c>
      <c r="F46" s="21">
        <v>65</v>
      </c>
      <c r="G46" s="21">
        <v>43</v>
      </c>
      <c r="H46" s="21">
        <v>47</v>
      </c>
      <c r="I46" s="21">
        <v>44</v>
      </c>
      <c r="J46" s="21">
        <v>48</v>
      </c>
      <c r="K46" s="21">
        <v>55</v>
      </c>
      <c r="L46" s="21">
        <v>70</v>
      </c>
      <c r="M46" s="22">
        <v>18</v>
      </c>
    </row>
    <row r="47" spans="1:13">
      <c r="A47" s="5" t="s">
        <v>19</v>
      </c>
      <c r="B47" s="21">
        <v>191</v>
      </c>
      <c r="C47" s="6">
        <v>112</v>
      </c>
      <c r="D47" s="21">
        <v>189</v>
      </c>
      <c r="E47" s="21">
        <v>178</v>
      </c>
      <c r="F47" s="21">
        <v>151</v>
      </c>
      <c r="G47" s="21">
        <v>85</v>
      </c>
      <c r="H47" s="21">
        <v>100</v>
      </c>
      <c r="I47" s="21">
        <v>106</v>
      </c>
      <c r="J47" s="21">
        <v>112</v>
      </c>
      <c r="K47" s="21">
        <v>153</v>
      </c>
      <c r="L47" s="21">
        <v>176</v>
      </c>
      <c r="M47" s="22">
        <v>79</v>
      </c>
    </row>
    <row r="48" spans="1:13">
      <c r="A48" s="5" t="s">
        <v>20</v>
      </c>
      <c r="B48" s="21">
        <v>142</v>
      </c>
      <c r="C48" s="6">
        <v>85</v>
      </c>
      <c r="D48" s="21">
        <v>141</v>
      </c>
      <c r="E48" s="21">
        <v>160</v>
      </c>
      <c r="F48" s="21">
        <v>137</v>
      </c>
      <c r="G48" s="21">
        <v>94</v>
      </c>
      <c r="H48" s="21">
        <v>111</v>
      </c>
      <c r="I48" s="21">
        <v>100</v>
      </c>
      <c r="J48" s="21">
        <v>87</v>
      </c>
      <c r="K48" s="21">
        <v>151</v>
      </c>
      <c r="L48" s="21">
        <v>174</v>
      </c>
      <c r="M48" s="22">
        <v>65</v>
      </c>
    </row>
    <row r="49" spans="1:14">
      <c r="A49" s="9" t="s">
        <v>21</v>
      </c>
      <c r="B49" s="23">
        <v>60</v>
      </c>
      <c r="C49" s="10">
        <v>70</v>
      </c>
      <c r="D49" s="23">
        <v>77</v>
      </c>
      <c r="E49" s="23">
        <v>71</v>
      </c>
      <c r="F49" s="23">
        <v>71</v>
      </c>
      <c r="G49" s="23">
        <v>53</v>
      </c>
      <c r="H49" s="23">
        <v>62</v>
      </c>
      <c r="I49" s="23">
        <v>48</v>
      </c>
      <c r="J49" s="23">
        <v>52</v>
      </c>
      <c r="K49" s="23">
        <v>74</v>
      </c>
      <c r="L49" s="23">
        <v>76</v>
      </c>
      <c r="M49" s="24">
        <v>32</v>
      </c>
    </row>
    <row r="50" spans="1:14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4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spans="1:14">
      <c r="A52" s="1" t="s">
        <v>26</v>
      </c>
      <c r="B52" s="2" t="s">
        <v>1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2" t="s">
        <v>8</v>
      </c>
      <c r="J52" s="2" t="s">
        <v>9</v>
      </c>
      <c r="K52" s="2" t="s">
        <v>10</v>
      </c>
      <c r="L52" s="2" t="s">
        <v>11</v>
      </c>
      <c r="M52" s="3" t="s">
        <v>12</v>
      </c>
    </row>
    <row r="53" spans="1:14">
      <c r="A53" s="5" t="s">
        <v>14</v>
      </c>
      <c r="B53" s="15">
        <f t="shared" ref="B53:M53" si="10">B42/B32</f>
        <v>0.26905962622367252</v>
      </c>
      <c r="C53" s="15">
        <f t="shared" si="10"/>
        <v>0.25434298440979958</v>
      </c>
      <c r="D53" s="15">
        <f t="shared" si="10"/>
        <v>0.27259081356949866</v>
      </c>
      <c r="E53" s="15">
        <f t="shared" si="10"/>
        <v>0.27864897466827504</v>
      </c>
      <c r="F53" s="15">
        <f t="shared" si="10"/>
        <v>0.25723140495867769</v>
      </c>
      <c r="G53" s="15">
        <f t="shared" si="10"/>
        <v>0.23745410036719705</v>
      </c>
      <c r="H53" s="15">
        <f t="shared" si="10"/>
        <v>0.24921507064364207</v>
      </c>
      <c r="I53" s="15">
        <f t="shared" si="10"/>
        <v>0.23533778767631774</v>
      </c>
      <c r="J53" s="15">
        <f t="shared" si="10"/>
        <v>0.25313384553174284</v>
      </c>
      <c r="K53" s="15">
        <f t="shared" si="10"/>
        <v>0.28097345132743362</v>
      </c>
      <c r="L53" s="15">
        <f t="shared" si="10"/>
        <v>0.27754763877381938</v>
      </c>
      <c r="M53" s="16">
        <f t="shared" si="10"/>
        <v>0.2421875</v>
      </c>
    </row>
    <row r="54" spans="1:14">
      <c r="A54" s="5" t="s">
        <v>15</v>
      </c>
      <c r="B54" s="15">
        <f t="shared" ref="B54:M54" si="11">B43/B33</f>
        <v>0.24566473988439305</v>
      </c>
      <c r="C54" s="15">
        <f t="shared" si="11"/>
        <v>0.23310023310023309</v>
      </c>
      <c r="D54" s="15">
        <f t="shared" si="11"/>
        <v>0.22887864823348694</v>
      </c>
      <c r="E54" s="15">
        <f t="shared" si="11"/>
        <v>0.2557427258805513</v>
      </c>
      <c r="F54" s="15">
        <f t="shared" si="11"/>
        <v>0.26881720430107525</v>
      </c>
      <c r="G54" s="15">
        <f t="shared" si="11"/>
        <v>0.27470355731225299</v>
      </c>
      <c r="H54" s="15">
        <f t="shared" si="11"/>
        <v>0.27807486631016043</v>
      </c>
      <c r="I54" s="15">
        <f t="shared" si="11"/>
        <v>0.2517361111111111</v>
      </c>
      <c r="J54" s="15">
        <f t="shared" si="11"/>
        <v>0.29401088929219599</v>
      </c>
      <c r="K54" s="15">
        <f t="shared" si="11"/>
        <v>0.29254571026722925</v>
      </c>
      <c r="L54" s="15">
        <f t="shared" si="11"/>
        <v>0.27487562189054726</v>
      </c>
      <c r="M54" s="16">
        <f t="shared" si="11"/>
        <v>0.23579545454545456</v>
      </c>
      <c r="N54" s="17">
        <v>0.33700000000000002</v>
      </c>
    </row>
    <row r="55" spans="1:14">
      <c r="A55" s="5" t="s">
        <v>16</v>
      </c>
      <c r="B55" s="15">
        <f t="shared" ref="B55:M55" si="12">B44/B34</f>
        <v>0.23449612403100775</v>
      </c>
      <c r="C55" s="15">
        <f t="shared" si="12"/>
        <v>0.22756410256410256</v>
      </c>
      <c r="D55" s="15">
        <f t="shared" si="12"/>
        <v>0.24954462659380691</v>
      </c>
      <c r="E55" s="15">
        <f t="shared" si="12"/>
        <v>0.26654064272211719</v>
      </c>
      <c r="F55" s="15">
        <f t="shared" si="12"/>
        <v>0.19967532467532467</v>
      </c>
      <c r="G55" s="15">
        <f t="shared" si="12"/>
        <v>0.18382352941176472</v>
      </c>
      <c r="H55" s="15">
        <f t="shared" si="12"/>
        <v>0.21068249258160238</v>
      </c>
      <c r="I55" s="15">
        <f t="shared" si="12"/>
        <v>0.22273781902552203</v>
      </c>
      <c r="J55" s="15">
        <f t="shared" si="12"/>
        <v>0.21036585365853658</v>
      </c>
      <c r="K55" s="15">
        <f t="shared" si="12"/>
        <v>0.25647058823529412</v>
      </c>
      <c r="L55" s="15">
        <f t="shared" si="12"/>
        <v>0.23362445414847161</v>
      </c>
      <c r="M55" s="16">
        <f t="shared" si="12"/>
        <v>0.2834008097165992</v>
      </c>
      <c r="N55" s="17">
        <v>0.26300000000000001</v>
      </c>
    </row>
    <row r="56" spans="1:14">
      <c r="A56" s="5" t="s">
        <v>17</v>
      </c>
      <c r="B56" s="15">
        <f t="shared" ref="B56:M56" si="13">B45/B35</f>
        <v>0.26628352490421459</v>
      </c>
      <c r="C56" s="15">
        <f t="shared" si="13"/>
        <v>0.26345609065155806</v>
      </c>
      <c r="D56" s="15">
        <f t="shared" si="13"/>
        <v>0.27756653992395436</v>
      </c>
      <c r="E56" s="15">
        <f t="shared" si="13"/>
        <v>0.26411290322580644</v>
      </c>
      <c r="F56" s="15">
        <f t="shared" si="13"/>
        <v>0.25933609958506226</v>
      </c>
      <c r="G56" s="15">
        <f t="shared" si="13"/>
        <v>0.23076923076923078</v>
      </c>
      <c r="H56" s="15">
        <f t="shared" si="13"/>
        <v>0.22166246851385391</v>
      </c>
      <c r="I56" s="15">
        <f t="shared" si="13"/>
        <v>0.21158129175946547</v>
      </c>
      <c r="J56" s="15">
        <f t="shared" si="13"/>
        <v>0.23357664233576642</v>
      </c>
      <c r="K56" s="15">
        <f t="shared" si="13"/>
        <v>0.26526717557251911</v>
      </c>
      <c r="L56" s="15">
        <f t="shared" si="13"/>
        <v>0.30166666666666669</v>
      </c>
      <c r="M56" s="16">
        <f t="shared" si="13"/>
        <v>0.21705426356589147</v>
      </c>
      <c r="N56" s="17">
        <v>0.255</v>
      </c>
    </row>
    <row r="57" spans="1:14">
      <c r="A57" s="5" t="s">
        <v>18</v>
      </c>
      <c r="B57" s="15">
        <f t="shared" ref="B57:M57" si="14">B46/B36</f>
        <v>0.21932114882506529</v>
      </c>
      <c r="C57" s="15">
        <f t="shared" si="14"/>
        <v>0.13793103448275862</v>
      </c>
      <c r="D57" s="15">
        <f t="shared" si="14"/>
        <v>0.19273743016759776</v>
      </c>
      <c r="E57" s="15">
        <f t="shared" si="14"/>
        <v>0.21111111111111111</v>
      </c>
      <c r="F57" s="15">
        <f t="shared" si="14"/>
        <v>0.18156424581005587</v>
      </c>
      <c r="G57" s="15">
        <f t="shared" si="14"/>
        <v>0.16287878787878787</v>
      </c>
      <c r="H57" s="15">
        <f t="shared" si="14"/>
        <v>0.17153284671532848</v>
      </c>
      <c r="I57" s="15">
        <f t="shared" si="14"/>
        <v>0.15120274914089346</v>
      </c>
      <c r="J57" s="15">
        <f t="shared" si="14"/>
        <v>0.18823529411764706</v>
      </c>
      <c r="K57" s="15">
        <f t="shared" si="14"/>
        <v>0.18518518518518517</v>
      </c>
      <c r="L57" s="15">
        <f t="shared" si="14"/>
        <v>0.2046783625730994</v>
      </c>
      <c r="M57" s="16">
        <f t="shared" si="14"/>
        <v>0.1276595744680851</v>
      </c>
      <c r="N57" s="17">
        <v>0.19400000000000001</v>
      </c>
    </row>
    <row r="58" spans="1:14">
      <c r="A58" s="5" t="s">
        <v>19</v>
      </c>
      <c r="B58" s="15">
        <f t="shared" ref="B58:M58" si="15">B47/B37</f>
        <v>0.31006493506493504</v>
      </c>
      <c r="C58" s="15">
        <f t="shared" si="15"/>
        <v>0.29319371727748689</v>
      </c>
      <c r="D58" s="15">
        <f t="shared" si="15"/>
        <v>0.33629893238434166</v>
      </c>
      <c r="E58" s="15">
        <f t="shared" si="15"/>
        <v>0.30016863406408095</v>
      </c>
      <c r="F58" s="15">
        <f t="shared" si="15"/>
        <v>0.27158273381294962</v>
      </c>
      <c r="G58" s="15">
        <f t="shared" si="15"/>
        <v>0.21963824289405684</v>
      </c>
      <c r="H58" s="15">
        <f t="shared" si="15"/>
        <v>0.24038461538461539</v>
      </c>
      <c r="I58" s="15">
        <f t="shared" si="15"/>
        <v>0.2560386473429952</v>
      </c>
      <c r="J58" s="15">
        <f t="shared" si="15"/>
        <v>0.27383863080684595</v>
      </c>
      <c r="K58" s="15">
        <f t="shared" si="15"/>
        <v>0.29032258064516131</v>
      </c>
      <c r="L58" s="15">
        <f t="shared" si="15"/>
        <v>0.27035330261136714</v>
      </c>
      <c r="M58" s="16">
        <f t="shared" si="15"/>
        <v>0.2651006711409396</v>
      </c>
      <c r="N58" s="17">
        <v>0.32300000000000001</v>
      </c>
    </row>
    <row r="59" spans="1:14">
      <c r="A59" s="5" t="s">
        <v>20</v>
      </c>
      <c r="B59" s="15">
        <f t="shared" ref="B59:M59" si="16">B48/B38</f>
        <v>0.33100233100233101</v>
      </c>
      <c r="C59" s="15">
        <f t="shared" si="16"/>
        <v>0.30357142857142855</v>
      </c>
      <c r="D59" s="15">
        <f t="shared" si="16"/>
        <v>0.3271461716937355</v>
      </c>
      <c r="E59" s="15">
        <f t="shared" si="16"/>
        <v>0.35714285714285715</v>
      </c>
      <c r="F59" s="15">
        <f t="shared" si="16"/>
        <v>0.35677083333333331</v>
      </c>
      <c r="G59" s="15">
        <f t="shared" si="16"/>
        <v>0.30128205128205127</v>
      </c>
      <c r="H59" s="15">
        <f t="shared" si="16"/>
        <v>0.32743362831858408</v>
      </c>
      <c r="I59" s="15">
        <f t="shared" si="16"/>
        <v>0.28653295128939826</v>
      </c>
      <c r="J59" s="15">
        <f t="shared" si="16"/>
        <v>0.28999999999999998</v>
      </c>
      <c r="K59" s="15">
        <f t="shared" si="16"/>
        <v>0.35034802784222741</v>
      </c>
      <c r="L59" s="15">
        <f t="shared" si="16"/>
        <v>0.3473053892215569</v>
      </c>
      <c r="M59" s="16">
        <f t="shared" si="16"/>
        <v>0.27083333333333331</v>
      </c>
      <c r="N59" s="17">
        <v>0.23799999999999999</v>
      </c>
    </row>
    <row r="60" spans="1:14">
      <c r="A60" s="9" t="s">
        <v>21</v>
      </c>
      <c r="B60" s="18">
        <f t="shared" ref="B60:M60" si="17">B49/B39</f>
        <v>0.22988505747126436</v>
      </c>
      <c r="C60" s="18">
        <f t="shared" si="17"/>
        <v>0.31531531531531531</v>
      </c>
      <c r="D60" s="18">
        <f t="shared" si="17"/>
        <v>0.25496688741721857</v>
      </c>
      <c r="E60" s="18">
        <f t="shared" si="17"/>
        <v>0.2563176895306859</v>
      </c>
      <c r="F60" s="18">
        <f t="shared" si="17"/>
        <v>0.27843137254901962</v>
      </c>
      <c r="G60" s="18">
        <f t="shared" si="17"/>
        <v>0.24651162790697675</v>
      </c>
      <c r="H60" s="18">
        <f t="shared" si="17"/>
        <v>0.2551440329218107</v>
      </c>
      <c r="I60" s="18">
        <f t="shared" si="17"/>
        <v>0.22535211267605634</v>
      </c>
      <c r="J60" s="18">
        <f t="shared" si="17"/>
        <v>0.21576763485477179</v>
      </c>
      <c r="K60" s="18">
        <f t="shared" si="17"/>
        <v>0.26241134751773049</v>
      </c>
      <c r="L60" s="18">
        <f t="shared" si="17"/>
        <v>0.25333333333333335</v>
      </c>
      <c r="M60" s="19">
        <f t="shared" si="17"/>
        <v>0.22535211267605634</v>
      </c>
      <c r="N60" s="17">
        <v>0.20599999999999999</v>
      </c>
    </row>
    <row r="63" spans="1:14">
      <c r="A63" s="25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3" t="s">
        <v>12</v>
      </c>
    </row>
    <row r="64" spans="1:14">
      <c r="A64" s="26" t="s">
        <v>27</v>
      </c>
      <c r="B64" s="6">
        <f t="shared" ref="B64:M64" si="18">SUM(B65:B67)</f>
        <v>1925604245</v>
      </c>
      <c r="C64" s="6">
        <f t="shared" si="18"/>
        <v>1051722000</v>
      </c>
      <c r="D64" s="6">
        <f t="shared" si="18"/>
        <v>1585920100</v>
      </c>
      <c r="E64" s="6">
        <f t="shared" si="18"/>
        <v>1334888000</v>
      </c>
      <c r="F64" s="6">
        <f t="shared" si="18"/>
        <v>1261949504</v>
      </c>
      <c r="G64" s="6">
        <f t="shared" si="18"/>
        <v>1360708061</v>
      </c>
      <c r="H64" s="6">
        <f t="shared" si="18"/>
        <v>1404733000</v>
      </c>
      <c r="I64" s="6">
        <f t="shared" si="18"/>
        <v>1457287967</v>
      </c>
      <c r="J64" s="6">
        <f t="shared" si="18"/>
        <v>1309647000</v>
      </c>
      <c r="K64" s="6">
        <f t="shared" si="18"/>
        <v>1820606000</v>
      </c>
      <c r="L64" s="6">
        <f t="shared" si="18"/>
        <v>2233481000</v>
      </c>
      <c r="M64" s="7">
        <f t="shared" si="18"/>
        <v>1121545000</v>
      </c>
      <c r="N64" s="8">
        <f>SUM(B64:M64)</f>
        <v>17868091877</v>
      </c>
    </row>
    <row r="65" spans="1:13">
      <c r="A65" s="26" t="s">
        <v>28</v>
      </c>
      <c r="B65" s="6">
        <v>1382149699</v>
      </c>
      <c r="C65" s="6">
        <v>706145000</v>
      </c>
      <c r="D65" s="6">
        <v>986333000</v>
      </c>
      <c r="E65" s="6">
        <v>577442000</v>
      </c>
      <c r="F65" s="6">
        <v>552196000</v>
      </c>
      <c r="G65" s="6">
        <v>595030000</v>
      </c>
      <c r="H65" s="6">
        <v>598875000</v>
      </c>
      <c r="I65" s="6">
        <v>489169000</v>
      </c>
      <c r="J65" s="6">
        <v>491195000</v>
      </c>
      <c r="K65" s="6">
        <v>742780000</v>
      </c>
      <c r="L65" s="6">
        <v>903039000</v>
      </c>
      <c r="M65" s="7">
        <v>399066000</v>
      </c>
    </row>
    <row r="66" spans="1:13">
      <c r="A66" s="26" t="s">
        <v>29</v>
      </c>
      <c r="B66" s="6">
        <v>543454546</v>
      </c>
      <c r="C66" s="6">
        <v>345577000</v>
      </c>
      <c r="D66" s="6">
        <v>500792500</v>
      </c>
      <c r="E66" s="6">
        <v>353891000</v>
      </c>
      <c r="F66" s="6">
        <v>336602304</v>
      </c>
      <c r="G66" s="6">
        <v>355771500</v>
      </c>
      <c r="H66" s="6">
        <v>318600000</v>
      </c>
      <c r="I66" s="6">
        <v>343146000</v>
      </c>
      <c r="J66" s="6">
        <v>331223000</v>
      </c>
      <c r="K66" s="6">
        <v>437752000</v>
      </c>
      <c r="L66" s="6">
        <v>549392000</v>
      </c>
      <c r="M66" s="7">
        <v>251915000</v>
      </c>
    </row>
    <row r="67" spans="1:13">
      <c r="A67" s="27" t="s">
        <v>30</v>
      </c>
      <c r="B67" s="10"/>
      <c r="C67" s="10"/>
      <c r="D67" s="10">
        <v>98794600</v>
      </c>
      <c r="E67" s="10">
        <v>403555000</v>
      </c>
      <c r="F67" s="10">
        <v>373151200</v>
      </c>
      <c r="G67" s="10">
        <v>409906561</v>
      </c>
      <c r="H67" s="10">
        <v>487258000</v>
      </c>
      <c r="I67" s="10">
        <v>624972967</v>
      </c>
      <c r="J67" s="10">
        <v>487229000</v>
      </c>
      <c r="K67" s="10">
        <v>640074000</v>
      </c>
      <c r="L67" s="10">
        <v>781050000</v>
      </c>
      <c r="M67" s="11">
        <v>470564000</v>
      </c>
    </row>
    <row r="68" spans="1:13">
      <c r="A68" s="20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7"/>
    </row>
    <row r="69" spans="1:13">
      <c r="A69" s="25" t="s">
        <v>31</v>
      </c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  <c r="J69" s="2" t="s">
        <v>9</v>
      </c>
      <c r="K69" s="2" t="s">
        <v>10</v>
      </c>
      <c r="L69" s="2" t="s">
        <v>11</v>
      </c>
      <c r="M69" s="3" t="s">
        <v>12</v>
      </c>
    </row>
    <row r="70" spans="1:13">
      <c r="A70" s="26" t="s">
        <v>27</v>
      </c>
      <c r="B70" s="6">
        <f t="shared" ref="B70:M70" si="19">SUM(B71:B73)</f>
        <v>1107831000</v>
      </c>
      <c r="C70" s="6">
        <f t="shared" si="19"/>
        <v>608819001</v>
      </c>
      <c r="D70" s="6">
        <f t="shared" si="19"/>
        <v>761929200</v>
      </c>
      <c r="E70" s="6">
        <f t="shared" si="19"/>
        <v>737029960</v>
      </c>
      <c r="F70" s="6">
        <f t="shared" si="19"/>
        <v>626417857</v>
      </c>
      <c r="G70" s="6">
        <f t="shared" si="19"/>
        <v>618643550</v>
      </c>
      <c r="H70" s="6">
        <f t="shared" si="19"/>
        <v>721576000</v>
      </c>
      <c r="I70" s="6">
        <f t="shared" si="19"/>
        <v>675172000</v>
      </c>
      <c r="J70" s="6">
        <f t="shared" si="19"/>
        <v>574114000</v>
      </c>
      <c r="K70" s="6">
        <f t="shared" si="19"/>
        <v>854761000</v>
      </c>
      <c r="L70" s="6">
        <f t="shared" si="19"/>
        <v>1002508000</v>
      </c>
      <c r="M70" s="7">
        <f t="shared" si="19"/>
        <v>468241000</v>
      </c>
    </row>
    <row r="71" spans="1:13">
      <c r="A71" s="26" t="s">
        <v>28</v>
      </c>
      <c r="B71" s="6">
        <v>776157000</v>
      </c>
      <c r="C71" s="6">
        <v>416973000</v>
      </c>
      <c r="D71" s="6">
        <v>462929200</v>
      </c>
      <c r="E71" s="6">
        <v>288685860</v>
      </c>
      <c r="F71" s="6">
        <v>217616857</v>
      </c>
      <c r="G71" s="6">
        <v>233830000</v>
      </c>
      <c r="H71" s="6">
        <v>284095000</v>
      </c>
      <c r="I71" s="6">
        <v>193989000</v>
      </c>
      <c r="J71" s="6">
        <v>200050000</v>
      </c>
      <c r="K71" s="6">
        <v>357537000</v>
      </c>
      <c r="L71" s="6">
        <v>370948000</v>
      </c>
      <c r="M71" s="7">
        <v>170153000</v>
      </c>
    </row>
    <row r="72" spans="1:13">
      <c r="A72" s="26" t="s">
        <v>29</v>
      </c>
      <c r="B72" s="6">
        <v>331674000</v>
      </c>
      <c r="C72" s="6">
        <v>191846001</v>
      </c>
      <c r="D72" s="6">
        <v>252115000</v>
      </c>
      <c r="E72" s="6">
        <v>178561000</v>
      </c>
      <c r="F72" s="6">
        <v>201897000</v>
      </c>
      <c r="G72" s="6">
        <v>151215500</v>
      </c>
      <c r="H72" s="6">
        <v>136146000</v>
      </c>
      <c r="I72" s="6">
        <v>135141000</v>
      </c>
      <c r="J72" s="6">
        <v>108622000</v>
      </c>
      <c r="K72" s="6">
        <v>178155000</v>
      </c>
      <c r="L72" s="6">
        <v>253698000</v>
      </c>
      <c r="M72" s="7">
        <v>95287000</v>
      </c>
    </row>
    <row r="73" spans="1:13">
      <c r="A73" s="27" t="s">
        <v>30</v>
      </c>
      <c r="B73" s="10"/>
      <c r="C73" s="10"/>
      <c r="D73" s="10">
        <v>46885000</v>
      </c>
      <c r="E73" s="10">
        <v>269783100</v>
      </c>
      <c r="F73" s="10">
        <v>206904000</v>
      </c>
      <c r="G73" s="10">
        <v>233598050</v>
      </c>
      <c r="H73" s="10">
        <v>301335000</v>
      </c>
      <c r="I73" s="10">
        <v>346042000</v>
      </c>
      <c r="J73" s="10">
        <v>265442000</v>
      </c>
      <c r="K73" s="10">
        <v>319069000</v>
      </c>
      <c r="L73" s="10">
        <v>377862000</v>
      </c>
      <c r="M73" s="11">
        <v>202801000</v>
      </c>
    </row>
    <row r="75" spans="1:13">
      <c r="A75" s="25" t="s">
        <v>32</v>
      </c>
      <c r="B75" s="2" t="s">
        <v>1</v>
      </c>
      <c r="C75" s="2" t="s">
        <v>2</v>
      </c>
      <c r="D75" s="2" t="s">
        <v>3</v>
      </c>
      <c r="E75" s="2" t="s">
        <v>4</v>
      </c>
      <c r="F75" s="2" t="s">
        <v>5</v>
      </c>
      <c r="G75" s="2" t="s">
        <v>6</v>
      </c>
      <c r="H75" s="2" t="s">
        <v>7</v>
      </c>
      <c r="I75" s="2" t="s">
        <v>8</v>
      </c>
      <c r="J75" s="2" t="s">
        <v>9</v>
      </c>
      <c r="K75" s="2" t="s">
        <v>10</v>
      </c>
      <c r="L75" s="2" t="s">
        <v>11</v>
      </c>
      <c r="M75" s="3" t="s">
        <v>12</v>
      </c>
    </row>
    <row r="76" spans="1:13">
      <c r="A76" s="26" t="s">
        <v>27</v>
      </c>
      <c r="B76" s="6">
        <f t="shared" ref="B76:M76" si="20">SUM(B77:B79)</f>
        <v>975</v>
      </c>
      <c r="C76" s="6">
        <f t="shared" si="20"/>
        <v>563</v>
      </c>
      <c r="D76" s="6">
        <f t="shared" si="20"/>
        <v>736</v>
      </c>
      <c r="E76" s="6">
        <f t="shared" si="20"/>
        <v>721</v>
      </c>
      <c r="F76" s="6">
        <f t="shared" si="20"/>
        <v>673</v>
      </c>
      <c r="G76" s="6">
        <f t="shared" si="20"/>
        <v>651</v>
      </c>
      <c r="H76" s="6">
        <f t="shared" si="20"/>
        <v>696</v>
      </c>
      <c r="I76" s="6">
        <f t="shared" si="20"/>
        <v>728</v>
      </c>
      <c r="J76" s="6">
        <f t="shared" si="20"/>
        <v>654</v>
      </c>
      <c r="K76" s="6">
        <f t="shared" si="20"/>
        <v>833</v>
      </c>
      <c r="L76" s="6">
        <f t="shared" si="20"/>
        <v>1028</v>
      </c>
      <c r="M76" s="7">
        <f t="shared" si="20"/>
        <v>541</v>
      </c>
    </row>
    <row r="77" spans="1:13">
      <c r="A77" s="26" t="s">
        <v>28</v>
      </c>
      <c r="B77" s="6">
        <v>685</v>
      </c>
      <c r="C77" s="6">
        <v>378</v>
      </c>
      <c r="D77" s="6">
        <v>486</v>
      </c>
      <c r="E77" s="6">
        <v>308</v>
      </c>
      <c r="F77" s="6">
        <v>278</v>
      </c>
      <c r="G77" s="6">
        <v>276</v>
      </c>
      <c r="H77" s="6">
        <v>284</v>
      </c>
      <c r="I77" s="6">
        <v>266</v>
      </c>
      <c r="J77" s="6">
        <v>241</v>
      </c>
      <c r="K77" s="6">
        <v>321</v>
      </c>
      <c r="L77" s="6">
        <v>402</v>
      </c>
      <c r="M77" s="7">
        <v>187</v>
      </c>
    </row>
    <row r="78" spans="1:13">
      <c r="A78" s="26" t="s">
        <v>29</v>
      </c>
      <c r="B78" s="6">
        <v>290</v>
      </c>
      <c r="C78" s="6">
        <v>185</v>
      </c>
      <c r="D78" s="6">
        <v>250</v>
      </c>
      <c r="E78" s="6">
        <v>180</v>
      </c>
      <c r="F78" s="6">
        <v>193</v>
      </c>
      <c r="G78" s="6">
        <v>166</v>
      </c>
      <c r="H78" s="6">
        <v>159</v>
      </c>
      <c r="I78" s="6">
        <v>166</v>
      </c>
      <c r="J78" s="6">
        <v>154</v>
      </c>
      <c r="K78" s="6">
        <v>196</v>
      </c>
      <c r="L78" s="6">
        <v>245</v>
      </c>
      <c r="M78" s="7">
        <v>118</v>
      </c>
    </row>
    <row r="79" spans="1:13">
      <c r="A79" s="27" t="s">
        <v>30</v>
      </c>
      <c r="B79" s="10"/>
      <c r="C79" s="10"/>
      <c r="D79" s="10"/>
      <c r="E79" s="10">
        <v>233</v>
      </c>
      <c r="F79" s="10">
        <v>202</v>
      </c>
      <c r="G79" s="10">
        <v>209</v>
      </c>
      <c r="H79" s="10">
        <v>253</v>
      </c>
      <c r="I79" s="10">
        <v>296</v>
      </c>
      <c r="J79" s="10">
        <v>259</v>
      </c>
      <c r="K79" s="10">
        <v>316</v>
      </c>
      <c r="L79" s="10">
        <v>381</v>
      </c>
      <c r="M79" s="11">
        <v>236</v>
      </c>
    </row>
    <row r="81" spans="1:13">
      <c r="A81" s="25" t="s">
        <v>33</v>
      </c>
      <c r="B81" s="2" t="s">
        <v>1</v>
      </c>
      <c r="C81" s="2" t="s">
        <v>2</v>
      </c>
      <c r="D81" s="2" t="s">
        <v>3</v>
      </c>
      <c r="E81" s="2" t="s">
        <v>4</v>
      </c>
      <c r="F81" s="2" t="s">
        <v>5</v>
      </c>
      <c r="G81" s="2" t="s">
        <v>6</v>
      </c>
      <c r="H81" s="2" t="s">
        <v>7</v>
      </c>
      <c r="I81" s="2" t="s">
        <v>8</v>
      </c>
      <c r="J81" s="2" t="s">
        <v>9</v>
      </c>
      <c r="K81" s="2" t="s">
        <v>10</v>
      </c>
      <c r="L81" s="2" t="s">
        <v>11</v>
      </c>
      <c r="M81" s="3" t="s">
        <v>12</v>
      </c>
    </row>
    <row r="82" spans="1:13">
      <c r="A82" s="26" t="s">
        <v>27</v>
      </c>
      <c r="B82" s="6">
        <f t="shared" ref="B82:M82" si="21">SUM(B83:B85)</f>
        <v>609</v>
      </c>
      <c r="C82" s="6">
        <f t="shared" si="21"/>
        <v>317</v>
      </c>
      <c r="D82" s="6">
        <f t="shared" si="21"/>
        <v>427</v>
      </c>
      <c r="E82" s="6">
        <f t="shared" si="21"/>
        <v>200</v>
      </c>
      <c r="F82" s="6">
        <f t="shared" si="21"/>
        <v>354</v>
      </c>
      <c r="G82" s="6">
        <f t="shared" si="21"/>
        <v>331</v>
      </c>
      <c r="H82" s="6">
        <f t="shared" si="21"/>
        <v>367</v>
      </c>
      <c r="I82" s="6">
        <f t="shared" si="21"/>
        <v>345</v>
      </c>
      <c r="J82" s="6">
        <f t="shared" si="21"/>
        <v>313</v>
      </c>
      <c r="K82" s="6">
        <f t="shared" si="21"/>
        <v>414</v>
      </c>
      <c r="L82" s="6">
        <f t="shared" si="21"/>
        <v>510</v>
      </c>
      <c r="M82" s="7">
        <f t="shared" si="21"/>
        <v>250</v>
      </c>
    </row>
    <row r="83" spans="1:13">
      <c r="A83" s="26" t="s">
        <v>28</v>
      </c>
      <c r="B83" s="6">
        <v>427</v>
      </c>
      <c r="C83" s="6">
        <v>215</v>
      </c>
      <c r="D83" s="6">
        <v>263</v>
      </c>
      <c r="E83" s="6">
        <v>79</v>
      </c>
      <c r="F83" s="6">
        <v>123</v>
      </c>
      <c r="G83" s="6">
        <v>127</v>
      </c>
      <c r="H83" s="6">
        <v>138</v>
      </c>
      <c r="I83" s="6">
        <v>116</v>
      </c>
      <c r="J83" s="6">
        <v>113</v>
      </c>
      <c r="K83" s="6">
        <v>169</v>
      </c>
      <c r="L83" s="6">
        <v>190</v>
      </c>
      <c r="M83" s="7">
        <v>82</v>
      </c>
    </row>
    <row r="84" spans="1:13">
      <c r="A84" s="26" t="s">
        <v>29</v>
      </c>
      <c r="B84" s="6">
        <v>182</v>
      </c>
      <c r="C84" s="6">
        <v>102</v>
      </c>
      <c r="D84" s="6">
        <v>136</v>
      </c>
      <c r="E84" s="6">
        <v>38</v>
      </c>
      <c r="F84" s="6">
        <v>115</v>
      </c>
      <c r="G84" s="6">
        <v>84</v>
      </c>
      <c r="H84" s="6">
        <v>74</v>
      </c>
      <c r="I84" s="6">
        <v>73</v>
      </c>
      <c r="J84" s="6">
        <v>63</v>
      </c>
      <c r="K84" s="6">
        <v>85</v>
      </c>
      <c r="L84" s="6">
        <v>124</v>
      </c>
      <c r="M84" s="7">
        <v>58</v>
      </c>
    </row>
    <row r="85" spans="1:13">
      <c r="A85" s="27" t="s">
        <v>30</v>
      </c>
      <c r="B85" s="10"/>
      <c r="C85" s="10"/>
      <c r="D85" s="10">
        <v>28</v>
      </c>
      <c r="E85" s="10">
        <v>83</v>
      </c>
      <c r="F85" s="10">
        <v>116</v>
      </c>
      <c r="G85" s="10">
        <v>120</v>
      </c>
      <c r="H85" s="10">
        <v>155</v>
      </c>
      <c r="I85" s="10">
        <v>156</v>
      </c>
      <c r="J85" s="10">
        <v>137</v>
      </c>
      <c r="K85" s="10">
        <v>160</v>
      </c>
      <c r="L85" s="10">
        <v>196</v>
      </c>
      <c r="M85" s="11">
        <v>110</v>
      </c>
    </row>
    <row r="87" spans="1:13">
      <c r="A87" s="25" t="s">
        <v>26</v>
      </c>
      <c r="B87" s="2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I87" s="2" t="s">
        <v>8</v>
      </c>
      <c r="J87" s="2" t="s">
        <v>9</v>
      </c>
      <c r="K87" s="2" t="s">
        <v>10</v>
      </c>
      <c r="L87" s="2" t="s">
        <v>11</v>
      </c>
      <c r="M87" s="3" t="s">
        <v>12</v>
      </c>
    </row>
    <row r="88" spans="1:13">
      <c r="A88" s="26" t="s">
        <v>27</v>
      </c>
      <c r="B88" s="28">
        <f t="shared" ref="B88:M88" si="22">B82/B76</f>
        <v>0.62461538461538457</v>
      </c>
      <c r="C88" s="28">
        <f t="shared" si="22"/>
        <v>0.56305506216696266</v>
      </c>
      <c r="D88" s="28">
        <f t="shared" si="22"/>
        <v>0.58016304347826086</v>
      </c>
      <c r="E88" s="28">
        <f t="shared" si="22"/>
        <v>0.27739251040221913</v>
      </c>
      <c r="F88" s="28">
        <f t="shared" si="22"/>
        <v>0.5260029717682021</v>
      </c>
      <c r="G88" s="28">
        <f t="shared" si="22"/>
        <v>0.50844854070660517</v>
      </c>
      <c r="H88" s="28">
        <f t="shared" si="22"/>
        <v>0.5272988505747126</v>
      </c>
      <c r="I88" s="28">
        <f t="shared" si="22"/>
        <v>0.47390109890109888</v>
      </c>
      <c r="J88" s="28">
        <f t="shared" si="22"/>
        <v>0.4785932721712538</v>
      </c>
      <c r="K88" s="28">
        <f t="shared" si="22"/>
        <v>0.49699879951980791</v>
      </c>
      <c r="L88" s="28">
        <f t="shared" si="22"/>
        <v>0.49610894941634243</v>
      </c>
      <c r="M88" s="29">
        <f t="shared" si="22"/>
        <v>0.46210720887245843</v>
      </c>
    </row>
    <row r="89" spans="1:13">
      <c r="A89" s="26" t="s">
        <v>28</v>
      </c>
      <c r="B89" s="28">
        <f t="shared" ref="B89:M89" si="23">B83/B77</f>
        <v>0.62335766423357664</v>
      </c>
      <c r="C89" s="28">
        <f t="shared" si="23"/>
        <v>0.56878306878306883</v>
      </c>
      <c r="D89" s="28">
        <f t="shared" si="23"/>
        <v>0.54115226337448563</v>
      </c>
      <c r="E89" s="28">
        <f t="shared" si="23"/>
        <v>0.2564935064935065</v>
      </c>
      <c r="F89" s="28">
        <f t="shared" si="23"/>
        <v>0.44244604316546765</v>
      </c>
      <c r="G89" s="28">
        <f t="shared" si="23"/>
        <v>0.46014492753623187</v>
      </c>
      <c r="H89" s="28">
        <f t="shared" si="23"/>
        <v>0.4859154929577465</v>
      </c>
      <c r="I89" s="28">
        <f t="shared" si="23"/>
        <v>0.43609022556390975</v>
      </c>
      <c r="J89" s="28">
        <f t="shared" si="23"/>
        <v>0.46887966804979253</v>
      </c>
      <c r="K89" s="28">
        <f t="shared" si="23"/>
        <v>0.52647975077881615</v>
      </c>
      <c r="L89" s="28">
        <f t="shared" si="23"/>
        <v>0.47263681592039802</v>
      </c>
      <c r="M89" s="29">
        <f t="shared" si="23"/>
        <v>0.43850267379679142</v>
      </c>
    </row>
    <row r="90" spans="1:13">
      <c r="A90" s="26" t="s">
        <v>29</v>
      </c>
      <c r="B90" s="28">
        <f t="shared" ref="B90:M90" si="24">B84/B78</f>
        <v>0.62758620689655176</v>
      </c>
      <c r="C90" s="28">
        <f t="shared" si="24"/>
        <v>0.55135135135135138</v>
      </c>
      <c r="D90" s="28">
        <f t="shared" si="24"/>
        <v>0.54400000000000004</v>
      </c>
      <c r="E90" s="28">
        <f t="shared" si="24"/>
        <v>0.21111111111111111</v>
      </c>
      <c r="F90" s="28">
        <f t="shared" si="24"/>
        <v>0.59585492227979275</v>
      </c>
      <c r="G90" s="28">
        <f t="shared" si="24"/>
        <v>0.50602409638554213</v>
      </c>
      <c r="H90" s="28">
        <f t="shared" si="24"/>
        <v>0.46540880503144655</v>
      </c>
      <c r="I90" s="28">
        <f t="shared" si="24"/>
        <v>0.43975903614457829</v>
      </c>
      <c r="J90" s="28">
        <f t="shared" si="24"/>
        <v>0.40909090909090912</v>
      </c>
      <c r="K90" s="28">
        <f t="shared" si="24"/>
        <v>0.43367346938775508</v>
      </c>
      <c r="L90" s="28">
        <f t="shared" si="24"/>
        <v>0.5061224489795918</v>
      </c>
      <c r="M90" s="29">
        <f t="shared" si="24"/>
        <v>0.49152542372881358</v>
      </c>
    </row>
    <row r="91" spans="1:13">
      <c r="A91" s="27" t="s">
        <v>30</v>
      </c>
      <c r="B91" s="30" t="e">
        <f t="shared" ref="B91:M91" si="25">B85/B79</f>
        <v>#DIV/0!</v>
      </c>
      <c r="C91" s="30" t="e">
        <f t="shared" si="25"/>
        <v>#DIV/0!</v>
      </c>
      <c r="D91" s="30" t="e">
        <f t="shared" si="25"/>
        <v>#DIV/0!</v>
      </c>
      <c r="E91" s="30">
        <f t="shared" si="25"/>
        <v>0.35622317596566522</v>
      </c>
      <c r="F91" s="30">
        <f t="shared" si="25"/>
        <v>0.57425742574257421</v>
      </c>
      <c r="G91" s="30">
        <f t="shared" si="25"/>
        <v>0.57416267942583732</v>
      </c>
      <c r="H91" s="30">
        <f t="shared" si="25"/>
        <v>0.61264822134387353</v>
      </c>
      <c r="I91" s="30">
        <f t="shared" si="25"/>
        <v>0.52702702702702697</v>
      </c>
      <c r="J91" s="30">
        <f t="shared" si="25"/>
        <v>0.52895752895752901</v>
      </c>
      <c r="K91" s="30">
        <f t="shared" si="25"/>
        <v>0.50632911392405067</v>
      </c>
      <c r="L91" s="30">
        <f t="shared" si="25"/>
        <v>0.51443569553805779</v>
      </c>
      <c r="M91" s="31">
        <f t="shared" si="25"/>
        <v>0.46610169491525422</v>
      </c>
    </row>
    <row r="93" spans="1:13">
      <c r="A93" s="25" t="s">
        <v>34</v>
      </c>
      <c r="B93" s="2" t="s">
        <v>1</v>
      </c>
      <c r="C93" s="2" t="s">
        <v>2</v>
      </c>
      <c r="D93" s="2" t="s">
        <v>3</v>
      </c>
      <c r="E93" s="2" t="s">
        <v>4</v>
      </c>
      <c r="F93" s="2" t="s">
        <v>5</v>
      </c>
      <c r="G93" s="2" t="s">
        <v>6</v>
      </c>
      <c r="H93" s="2" t="s">
        <v>7</v>
      </c>
      <c r="I93" s="2" t="s">
        <v>8</v>
      </c>
      <c r="J93" s="2" t="s">
        <v>9</v>
      </c>
      <c r="K93" s="2" t="s">
        <v>10</v>
      </c>
      <c r="L93" s="2" t="s">
        <v>11</v>
      </c>
      <c r="M93" s="3" t="s">
        <v>12</v>
      </c>
    </row>
    <row r="94" spans="1:13">
      <c r="A94" s="26" t="s">
        <v>27</v>
      </c>
      <c r="B94" s="28">
        <f t="shared" ref="B94:M94" si="26">B70/B64</f>
        <v>0.57531603540892695</v>
      </c>
      <c r="C94" s="28">
        <f t="shared" si="26"/>
        <v>0.57887825965416717</v>
      </c>
      <c r="D94" s="28">
        <f t="shared" si="26"/>
        <v>0.48043353508162234</v>
      </c>
      <c r="E94" s="28">
        <f t="shared" si="26"/>
        <v>0.55212868794985048</v>
      </c>
      <c r="F94" s="28">
        <f t="shared" si="26"/>
        <v>0.49638900369186245</v>
      </c>
      <c r="G94" s="28">
        <f t="shared" si="26"/>
        <v>0.45464825830851013</v>
      </c>
      <c r="H94" s="28">
        <f t="shared" si="26"/>
        <v>0.51367484069926461</v>
      </c>
      <c r="I94" s="28">
        <f t="shared" si="26"/>
        <v>0.46330719479549509</v>
      </c>
      <c r="J94" s="28">
        <f t="shared" si="26"/>
        <v>0.43837308832074595</v>
      </c>
      <c r="K94" s="28">
        <f t="shared" si="26"/>
        <v>0.46949257554902046</v>
      </c>
      <c r="L94" s="28">
        <f t="shared" si="26"/>
        <v>0.44885450111283687</v>
      </c>
      <c r="M94" s="29">
        <f t="shared" si="26"/>
        <v>0.41749640005528088</v>
      </c>
    </row>
    <row r="95" spans="1:13">
      <c r="A95" s="26" t="s">
        <v>28</v>
      </c>
      <c r="B95" s="28">
        <f t="shared" ref="B95:M95" si="27">B71/B65</f>
        <v>0.56155784034215528</v>
      </c>
      <c r="C95" s="28">
        <f t="shared" si="27"/>
        <v>0.5904920377542856</v>
      </c>
      <c r="D95" s="28">
        <f t="shared" si="27"/>
        <v>0.46934372062984814</v>
      </c>
      <c r="E95" s="28">
        <f t="shared" si="27"/>
        <v>0.49993914540334788</v>
      </c>
      <c r="F95" s="28">
        <f t="shared" si="27"/>
        <v>0.39409350484248346</v>
      </c>
      <c r="G95" s="28">
        <f t="shared" si="27"/>
        <v>0.39297178293531421</v>
      </c>
      <c r="H95" s="28">
        <f t="shared" si="27"/>
        <v>0.47438113128783133</v>
      </c>
      <c r="I95" s="28">
        <f t="shared" si="27"/>
        <v>0.3965684661129385</v>
      </c>
      <c r="J95" s="28">
        <f t="shared" si="27"/>
        <v>0.40727206099410623</v>
      </c>
      <c r="K95" s="28">
        <f t="shared" si="27"/>
        <v>0.48134979401707101</v>
      </c>
      <c r="L95" s="28">
        <f t="shared" si="27"/>
        <v>0.41077738613725434</v>
      </c>
      <c r="M95" s="29">
        <f t="shared" si="27"/>
        <v>0.42637809284679729</v>
      </c>
    </row>
    <row r="96" spans="1:13">
      <c r="A96" s="26" t="s">
        <v>29</v>
      </c>
      <c r="B96" s="28">
        <f t="shared" ref="B96:M96" si="28">B72/B66</f>
        <v>0.61030679095653384</v>
      </c>
      <c r="C96" s="28">
        <f t="shared" si="28"/>
        <v>0.55514690213758444</v>
      </c>
      <c r="D96" s="28">
        <f t="shared" si="28"/>
        <v>0.5034320601846074</v>
      </c>
      <c r="E96" s="28">
        <f t="shared" si="28"/>
        <v>0.50456496491857661</v>
      </c>
      <c r="F96" s="28">
        <f t="shared" si="28"/>
        <v>0.59980872858196477</v>
      </c>
      <c r="G96" s="28">
        <f t="shared" si="28"/>
        <v>0.42503545112523067</v>
      </c>
      <c r="H96" s="28">
        <f t="shared" si="28"/>
        <v>0.42732580037664786</v>
      </c>
      <c r="I96" s="28">
        <f t="shared" si="28"/>
        <v>0.39382944868947911</v>
      </c>
      <c r="J96" s="28">
        <f t="shared" si="28"/>
        <v>0.3279422020813772</v>
      </c>
      <c r="K96" s="28">
        <f t="shared" si="28"/>
        <v>0.40697700981377583</v>
      </c>
      <c r="L96" s="28">
        <f t="shared" si="28"/>
        <v>0.46177956723068408</v>
      </c>
      <c r="M96" s="29">
        <f t="shared" si="28"/>
        <v>0.37825060040092889</v>
      </c>
    </row>
    <row r="97" spans="1:13">
      <c r="A97" s="27" t="s">
        <v>30</v>
      </c>
      <c r="B97" s="30" t="e">
        <f t="shared" ref="B97:M97" si="29">B73/B67</f>
        <v>#DIV/0!</v>
      </c>
      <c r="C97" s="30" t="e">
        <f t="shared" si="29"/>
        <v>#DIV/0!</v>
      </c>
      <c r="D97" s="30">
        <f t="shared" si="29"/>
        <v>0.47457047247521628</v>
      </c>
      <c r="E97" s="30">
        <f t="shared" si="29"/>
        <v>0.66851631128346822</v>
      </c>
      <c r="F97" s="30">
        <f t="shared" si="29"/>
        <v>0.55447764873863459</v>
      </c>
      <c r="G97" s="30">
        <f t="shared" si="29"/>
        <v>0.56988121739285846</v>
      </c>
      <c r="H97" s="30">
        <f t="shared" si="29"/>
        <v>0.61843007195366728</v>
      </c>
      <c r="I97" s="30">
        <f t="shared" si="29"/>
        <v>0.55369114869251612</v>
      </c>
      <c r="J97" s="30">
        <f t="shared" si="29"/>
        <v>0.54479926276966273</v>
      </c>
      <c r="K97" s="30">
        <f t="shared" si="29"/>
        <v>0.49848767486259399</v>
      </c>
      <c r="L97" s="30">
        <f t="shared" si="29"/>
        <v>0.48378720952563858</v>
      </c>
      <c r="M97" s="31">
        <f t="shared" si="29"/>
        <v>0.43097432017748916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70"/>
  <sheetViews>
    <sheetView workbookViewId="0"/>
  </sheetViews>
  <sheetFormatPr defaultColWidth="12.5703125" defaultRowHeight="15.75" customHeight="1"/>
  <cols>
    <col min="1" max="1" width="19.42578125" customWidth="1"/>
  </cols>
  <sheetData>
    <row r="1" spans="1:14">
      <c r="A1" s="32" t="s">
        <v>35</v>
      </c>
      <c r="B1" s="33" t="s">
        <v>36</v>
      </c>
      <c r="C1" s="34" t="s">
        <v>1</v>
      </c>
      <c r="D1" s="34" t="s">
        <v>2</v>
      </c>
      <c r="E1" s="34" t="s">
        <v>3</v>
      </c>
      <c r="F1" s="34" t="s">
        <v>4</v>
      </c>
      <c r="G1" s="34" t="s">
        <v>5</v>
      </c>
      <c r="H1" s="34" t="s">
        <v>6</v>
      </c>
      <c r="I1" s="34" t="s">
        <v>7</v>
      </c>
      <c r="J1" s="34" t="s">
        <v>8</v>
      </c>
      <c r="K1" s="34" t="s">
        <v>9</v>
      </c>
      <c r="L1" s="34" t="s">
        <v>10</v>
      </c>
      <c r="M1" s="34" t="s">
        <v>11</v>
      </c>
      <c r="N1" s="34" t="s">
        <v>12</v>
      </c>
    </row>
    <row r="2" spans="1:14">
      <c r="A2" s="35" t="s">
        <v>37</v>
      </c>
      <c r="B2" s="36">
        <f t="shared" ref="B2:B15" si="0">SUM(C2:N2)</f>
        <v>11994309290</v>
      </c>
      <c r="C2" s="37">
        <v>974016330</v>
      </c>
      <c r="D2" s="37">
        <v>994813705</v>
      </c>
      <c r="E2" s="37">
        <v>1377542811</v>
      </c>
      <c r="F2" s="37">
        <v>1295953590</v>
      </c>
      <c r="G2" s="37">
        <v>1121384270</v>
      </c>
      <c r="H2" s="37">
        <v>780709322</v>
      </c>
      <c r="I2" s="37">
        <v>997414792</v>
      </c>
      <c r="J2" s="37">
        <v>844333685</v>
      </c>
      <c r="K2" s="37">
        <v>752968568</v>
      </c>
      <c r="L2" s="37">
        <v>1028161946</v>
      </c>
      <c r="M2" s="37">
        <v>1162455104</v>
      </c>
      <c r="N2" s="37">
        <v>664555167</v>
      </c>
    </row>
    <row r="3" spans="1:14">
      <c r="A3" s="38" t="s">
        <v>38</v>
      </c>
      <c r="B3" s="36">
        <f t="shared" si="0"/>
        <v>8404443720</v>
      </c>
      <c r="C3" s="36">
        <f t="shared" ref="C3:N3" si="1">C2-C12</f>
        <v>577254537</v>
      </c>
      <c r="D3" s="36">
        <f t="shared" si="1"/>
        <v>651796733</v>
      </c>
      <c r="E3" s="36">
        <f t="shared" si="1"/>
        <v>960709827</v>
      </c>
      <c r="F3" s="36">
        <f t="shared" si="1"/>
        <v>945877934</v>
      </c>
      <c r="G3" s="36">
        <f t="shared" si="1"/>
        <v>821943848</v>
      </c>
      <c r="H3" s="36">
        <f t="shared" si="1"/>
        <v>559502736</v>
      </c>
      <c r="I3" s="36">
        <f t="shared" si="1"/>
        <v>710160786</v>
      </c>
      <c r="J3" s="36">
        <f t="shared" si="1"/>
        <v>600334821</v>
      </c>
      <c r="K3" s="36">
        <f t="shared" si="1"/>
        <v>544913378</v>
      </c>
      <c r="L3" s="36">
        <f t="shared" si="1"/>
        <v>728229821</v>
      </c>
      <c r="M3" s="36">
        <f t="shared" si="1"/>
        <v>838014785</v>
      </c>
      <c r="N3" s="36">
        <f t="shared" si="1"/>
        <v>465704514</v>
      </c>
    </row>
    <row r="4" spans="1:14">
      <c r="A4" s="38" t="s">
        <v>39</v>
      </c>
      <c r="B4" s="36">
        <f t="shared" si="0"/>
        <v>0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spans="1:14">
      <c r="A5" s="38" t="s">
        <v>40</v>
      </c>
      <c r="B5" s="36">
        <f t="shared" si="0"/>
        <v>559577539</v>
      </c>
      <c r="C5" s="37">
        <v>42504853</v>
      </c>
      <c r="D5" s="37">
        <v>48506556</v>
      </c>
      <c r="E5" s="37">
        <v>51605324</v>
      </c>
      <c r="F5" s="37">
        <v>48466670</v>
      </c>
      <c r="G5" s="37">
        <v>37537532</v>
      </c>
      <c r="H5" s="37">
        <v>31269468</v>
      </c>
      <c r="I5" s="37">
        <v>47679185</v>
      </c>
      <c r="J5" s="37">
        <v>40913455</v>
      </c>
      <c r="K5" s="37">
        <v>47336500</v>
      </c>
      <c r="L5" s="37">
        <v>51069016</v>
      </c>
      <c r="M5" s="14">
        <v>73065729</v>
      </c>
      <c r="N5" s="37">
        <v>39623251</v>
      </c>
    </row>
    <row r="6" spans="1:14">
      <c r="A6" s="38" t="s">
        <v>41</v>
      </c>
      <c r="B6" s="36">
        <f t="shared" si="0"/>
        <v>573932727</v>
      </c>
      <c r="C6" s="37">
        <v>35353343</v>
      </c>
      <c r="D6" s="37">
        <v>39770255</v>
      </c>
      <c r="E6" s="37">
        <v>41206638</v>
      </c>
      <c r="F6" s="37">
        <v>47652791</v>
      </c>
      <c r="G6" s="37">
        <v>45785696</v>
      </c>
      <c r="H6" s="37">
        <v>51650786</v>
      </c>
      <c r="I6" s="37">
        <v>45975937</v>
      </c>
      <c r="J6" s="37">
        <v>56684405</v>
      </c>
      <c r="K6" s="37">
        <v>40472323</v>
      </c>
      <c r="L6" s="37">
        <v>49915109</v>
      </c>
      <c r="M6" s="37">
        <v>71695794</v>
      </c>
      <c r="N6" s="37">
        <v>47769650</v>
      </c>
    </row>
    <row r="7" spans="1:14">
      <c r="A7" s="38" t="s">
        <v>42</v>
      </c>
      <c r="B7" s="36">
        <f t="shared" si="0"/>
        <v>553776341</v>
      </c>
      <c r="C7" s="37">
        <v>67749285</v>
      </c>
      <c r="D7" s="37">
        <v>52896279</v>
      </c>
      <c r="E7" s="37">
        <v>48095351</v>
      </c>
      <c r="F7" s="37">
        <v>44097762</v>
      </c>
      <c r="G7" s="37">
        <v>39457254</v>
      </c>
      <c r="H7" s="37">
        <v>49071190</v>
      </c>
      <c r="I7" s="37">
        <v>37552041</v>
      </c>
      <c r="J7" s="37">
        <v>42711649</v>
      </c>
      <c r="K7" s="37">
        <v>39005064</v>
      </c>
      <c r="L7" s="37">
        <v>43223608</v>
      </c>
      <c r="M7" s="37">
        <v>56674149</v>
      </c>
      <c r="N7" s="37">
        <v>33242709</v>
      </c>
    </row>
    <row r="8" spans="1:14">
      <c r="A8" s="38" t="s">
        <v>43</v>
      </c>
      <c r="B8" s="36">
        <f t="shared" si="0"/>
        <v>518638261</v>
      </c>
      <c r="C8" s="37">
        <v>49829686</v>
      </c>
      <c r="D8" s="37">
        <v>45910262</v>
      </c>
      <c r="E8" s="37">
        <v>49117656</v>
      </c>
      <c r="F8" s="37">
        <v>47687325</v>
      </c>
      <c r="G8" s="37">
        <v>39801508</v>
      </c>
      <c r="H8" s="37">
        <v>39252832</v>
      </c>
      <c r="I8" s="37">
        <v>40353001</v>
      </c>
      <c r="J8" s="37">
        <v>36580174</v>
      </c>
      <c r="K8" s="37">
        <v>38793077</v>
      </c>
      <c r="L8" s="37">
        <v>49837802</v>
      </c>
      <c r="M8" s="37">
        <v>52987490</v>
      </c>
      <c r="N8" s="37">
        <v>28487448</v>
      </c>
    </row>
    <row r="9" spans="1:14">
      <c r="A9" s="38" t="s">
        <v>44</v>
      </c>
      <c r="B9" s="36">
        <f t="shared" si="0"/>
        <v>526527812</v>
      </c>
      <c r="C9" s="37">
        <v>36879731</v>
      </c>
      <c r="D9" s="37">
        <v>58915543</v>
      </c>
      <c r="E9" s="37">
        <v>37793081</v>
      </c>
      <c r="F9" s="37">
        <v>41647468</v>
      </c>
      <c r="G9" s="37">
        <v>37714625</v>
      </c>
      <c r="H9" s="37">
        <v>39132611</v>
      </c>
      <c r="I9" s="37">
        <v>40045095</v>
      </c>
      <c r="J9" s="37">
        <v>48232457</v>
      </c>
      <c r="K9" s="37">
        <v>35037557</v>
      </c>
      <c r="L9" s="37">
        <v>55047006</v>
      </c>
      <c r="M9" s="37">
        <v>62802705</v>
      </c>
      <c r="N9" s="37">
        <v>33279933</v>
      </c>
    </row>
    <row r="10" spans="1:14">
      <c r="A10" s="38" t="s">
        <v>45</v>
      </c>
      <c r="B10" s="36">
        <f t="shared" si="0"/>
        <v>516998984</v>
      </c>
      <c r="C10" s="37">
        <v>28249971</v>
      </c>
      <c r="D10" s="37">
        <v>46766884</v>
      </c>
      <c r="E10" s="37">
        <v>50099468</v>
      </c>
      <c r="F10" s="37">
        <v>56211407</v>
      </c>
      <c r="G10" s="37">
        <v>49400663</v>
      </c>
      <c r="H10" s="37">
        <v>52162698</v>
      </c>
      <c r="I10" s="37">
        <v>44100002</v>
      </c>
      <c r="J10" s="37">
        <v>44495313</v>
      </c>
      <c r="K10" s="37">
        <v>36789824</v>
      </c>
      <c r="L10" s="37">
        <v>35037494</v>
      </c>
      <c r="M10" s="37">
        <v>45943973</v>
      </c>
      <c r="N10" s="37">
        <v>27741287</v>
      </c>
    </row>
    <row r="11" spans="1:14">
      <c r="A11" s="39" t="s">
        <v>46</v>
      </c>
      <c r="B11" s="36">
        <f t="shared" si="0"/>
        <v>409400882</v>
      </c>
      <c r="C11" s="37">
        <v>49538284</v>
      </c>
      <c r="D11" s="37">
        <v>38948297</v>
      </c>
      <c r="E11" s="37">
        <v>44267378</v>
      </c>
      <c r="F11" s="37">
        <v>36225187</v>
      </c>
      <c r="G11" s="37">
        <v>32254186</v>
      </c>
      <c r="H11" s="37">
        <v>26958190</v>
      </c>
      <c r="I11" s="37">
        <v>30172201</v>
      </c>
      <c r="J11" s="37">
        <v>32187713</v>
      </c>
      <c r="K11" s="37">
        <v>36251656</v>
      </c>
      <c r="L11" s="37">
        <v>27788860</v>
      </c>
      <c r="M11" s="37">
        <v>33995583</v>
      </c>
      <c r="N11" s="37">
        <v>20813347</v>
      </c>
    </row>
    <row r="12" spans="1:14">
      <c r="A12" s="39" t="s">
        <v>47</v>
      </c>
      <c r="B12" s="36">
        <f t="shared" si="0"/>
        <v>3589865570</v>
      </c>
      <c r="C12" s="37">
        <v>396761793</v>
      </c>
      <c r="D12" s="37">
        <v>343016972</v>
      </c>
      <c r="E12" s="37">
        <v>416832984</v>
      </c>
      <c r="F12" s="37">
        <v>350075656</v>
      </c>
      <c r="G12" s="37">
        <v>299440422</v>
      </c>
      <c r="H12" s="37">
        <v>221206586</v>
      </c>
      <c r="I12" s="37">
        <v>287254006</v>
      </c>
      <c r="J12" s="37">
        <v>243998864</v>
      </c>
      <c r="K12" s="37">
        <v>208055190</v>
      </c>
      <c r="L12" s="37">
        <v>299932125</v>
      </c>
      <c r="M12" s="37">
        <v>324440319</v>
      </c>
      <c r="N12" s="37">
        <v>198850653</v>
      </c>
    </row>
    <row r="13" spans="1:14">
      <c r="A13" s="39" t="s">
        <v>48</v>
      </c>
      <c r="B13" s="36">
        <f t="shared" si="0"/>
        <v>810899141</v>
      </c>
      <c r="C13" s="37">
        <v>92459057</v>
      </c>
      <c r="D13" s="37">
        <v>94439774</v>
      </c>
      <c r="E13" s="37">
        <v>80617129</v>
      </c>
      <c r="F13" s="37">
        <v>56121847</v>
      </c>
      <c r="G13" s="37">
        <v>59534920</v>
      </c>
      <c r="H13" s="37">
        <v>56479555</v>
      </c>
      <c r="I13" s="37">
        <v>57023355</v>
      </c>
      <c r="J13" s="37">
        <v>50938569</v>
      </c>
      <c r="K13" s="37">
        <v>48037238</v>
      </c>
      <c r="L13" s="37">
        <v>69111439</v>
      </c>
      <c r="M13" s="37">
        <v>94301197</v>
      </c>
      <c r="N13" s="37">
        <v>51835061</v>
      </c>
    </row>
    <row r="14" spans="1:14">
      <c r="A14" s="39" t="s">
        <v>49</v>
      </c>
      <c r="B14" s="36">
        <f t="shared" si="0"/>
        <v>752412844</v>
      </c>
      <c r="C14" s="37">
        <v>78423629</v>
      </c>
      <c r="D14" s="37">
        <v>78081970</v>
      </c>
      <c r="E14" s="37">
        <v>82009988</v>
      </c>
      <c r="F14" s="37">
        <v>68148305</v>
      </c>
      <c r="G14" s="37">
        <v>70609863</v>
      </c>
      <c r="H14" s="37">
        <v>55767288</v>
      </c>
      <c r="I14" s="37">
        <v>54917417</v>
      </c>
      <c r="J14" s="37">
        <v>43566970</v>
      </c>
      <c r="K14" s="37">
        <v>45740255</v>
      </c>
      <c r="L14" s="37">
        <v>58718822</v>
      </c>
      <c r="M14" s="37">
        <v>73353144</v>
      </c>
      <c r="N14" s="37">
        <v>43075193</v>
      </c>
    </row>
    <row r="15" spans="1:14">
      <c r="A15" s="39" t="s">
        <v>50</v>
      </c>
      <c r="B15" s="36">
        <f t="shared" si="0"/>
        <v>545872435</v>
      </c>
      <c r="C15" s="37">
        <v>0</v>
      </c>
      <c r="D15" s="37">
        <v>0</v>
      </c>
      <c r="E15" s="37">
        <v>45070597</v>
      </c>
      <c r="F15" s="37">
        <v>55371260</v>
      </c>
      <c r="G15" s="37">
        <v>44830747</v>
      </c>
      <c r="H15" s="37">
        <v>52805477</v>
      </c>
      <c r="I15" s="37">
        <v>49185490</v>
      </c>
      <c r="J15" s="37">
        <v>50413856</v>
      </c>
      <c r="K15" s="37">
        <v>49302472</v>
      </c>
      <c r="L15" s="37">
        <v>58750099</v>
      </c>
      <c r="M15" s="37">
        <v>85676123</v>
      </c>
      <c r="N15" s="37">
        <v>54466314</v>
      </c>
    </row>
    <row r="16" spans="1:14">
      <c r="A16" s="33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</row>
    <row r="17" spans="1:15">
      <c r="A17" s="41" t="s">
        <v>0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</row>
    <row r="18" spans="1:15">
      <c r="A18" s="44" t="s">
        <v>37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</row>
    <row r="19" spans="1:15">
      <c r="A19" s="45" t="s">
        <v>38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3"/>
    </row>
    <row r="20" spans="1:15">
      <c r="A20" s="45" t="s">
        <v>39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37"/>
      <c r="O20" s="43"/>
    </row>
    <row r="21" spans="1:15">
      <c r="A21" s="45" t="s">
        <v>40</v>
      </c>
      <c r="B21" s="36">
        <f t="shared" ref="B21:B31" si="2">SUM(C21:N21)</f>
        <v>17757523550</v>
      </c>
      <c r="C21" s="37">
        <v>2028617278</v>
      </c>
      <c r="D21" s="37">
        <v>1166884000</v>
      </c>
      <c r="E21" s="37">
        <v>1810419000</v>
      </c>
      <c r="F21" s="37">
        <v>1600227000</v>
      </c>
      <c r="G21" s="37">
        <v>599653000</v>
      </c>
      <c r="H21" s="37">
        <v>1126122100</v>
      </c>
      <c r="I21" s="37">
        <v>1387023200</v>
      </c>
      <c r="J21" s="37">
        <v>1493622000</v>
      </c>
      <c r="K21" s="37">
        <v>1440201972</v>
      </c>
      <c r="L21" s="37">
        <v>1938035000</v>
      </c>
      <c r="M21" s="37">
        <v>2308721000</v>
      </c>
      <c r="N21" s="37">
        <v>857998000</v>
      </c>
      <c r="O21" s="43"/>
    </row>
    <row r="22" spans="1:15">
      <c r="A22" s="45" t="s">
        <v>41</v>
      </c>
      <c r="B22" s="36">
        <f t="shared" si="2"/>
        <v>13120033374</v>
      </c>
      <c r="C22" s="37">
        <v>1508324003</v>
      </c>
      <c r="D22" s="37">
        <v>690811000</v>
      </c>
      <c r="E22" s="37">
        <v>1361832000</v>
      </c>
      <c r="F22" s="37">
        <v>1325158000</v>
      </c>
      <c r="G22" s="37">
        <v>1557554200</v>
      </c>
      <c r="H22" s="37">
        <v>1014735000</v>
      </c>
      <c r="I22" s="37">
        <v>709608000</v>
      </c>
      <c r="J22" s="37">
        <v>1105113000</v>
      </c>
      <c r="K22" s="37">
        <v>908171000</v>
      </c>
      <c r="L22" s="37">
        <v>1118234280</v>
      </c>
      <c r="M22" s="37">
        <v>1212152800</v>
      </c>
      <c r="N22" s="37">
        <v>608340091</v>
      </c>
      <c r="O22" s="43"/>
    </row>
    <row r="23" spans="1:15">
      <c r="A23" s="45" t="s">
        <v>42</v>
      </c>
      <c r="B23" s="36">
        <f t="shared" si="2"/>
        <v>8789506096</v>
      </c>
      <c r="C23" s="37">
        <v>1138102916</v>
      </c>
      <c r="D23" s="37">
        <v>699988000</v>
      </c>
      <c r="E23" s="37">
        <v>970848300</v>
      </c>
      <c r="F23" s="37">
        <v>841440050</v>
      </c>
      <c r="G23" s="37">
        <v>773148950</v>
      </c>
      <c r="H23" s="37">
        <v>580595900</v>
      </c>
      <c r="I23" s="37">
        <v>542953300</v>
      </c>
      <c r="J23" s="37">
        <v>640902200</v>
      </c>
      <c r="K23" s="37">
        <v>556383590</v>
      </c>
      <c r="L23" s="37">
        <v>704094210</v>
      </c>
      <c r="M23" s="37">
        <v>947775250</v>
      </c>
      <c r="N23" s="37">
        <v>393273430</v>
      </c>
      <c r="O23" s="43"/>
    </row>
    <row r="24" spans="1:15">
      <c r="A24" s="45" t="s">
        <v>43</v>
      </c>
      <c r="B24" s="36">
        <f t="shared" si="2"/>
        <v>10755252909</v>
      </c>
      <c r="C24" s="37">
        <v>1104601297</v>
      </c>
      <c r="D24" s="37">
        <v>645504100</v>
      </c>
      <c r="E24" s="37">
        <v>1042713000</v>
      </c>
      <c r="F24" s="37">
        <v>931754050</v>
      </c>
      <c r="G24" s="37">
        <v>946945600</v>
      </c>
      <c r="H24" s="37">
        <v>781483030</v>
      </c>
      <c r="I24" s="37">
        <v>743922050</v>
      </c>
      <c r="J24" s="37">
        <v>858818900</v>
      </c>
      <c r="K24" s="37">
        <v>842320700</v>
      </c>
      <c r="L24" s="37">
        <v>995976000</v>
      </c>
      <c r="M24" s="37">
        <v>1308029455</v>
      </c>
      <c r="N24" s="37">
        <v>553184727</v>
      </c>
      <c r="O24" s="43"/>
    </row>
    <row r="25" spans="1:15">
      <c r="A25" s="45" t="s">
        <v>44</v>
      </c>
      <c r="B25" s="36">
        <f t="shared" si="2"/>
        <v>11621525513</v>
      </c>
      <c r="C25" s="37">
        <v>1332513238</v>
      </c>
      <c r="D25" s="37">
        <v>772236150</v>
      </c>
      <c r="E25" s="37">
        <v>1216290700</v>
      </c>
      <c r="F25" s="37">
        <v>1188204250</v>
      </c>
      <c r="G25" s="37">
        <v>949115500</v>
      </c>
      <c r="H25" s="37">
        <v>610220275</v>
      </c>
      <c r="I25" s="37">
        <v>741189700</v>
      </c>
      <c r="J25" s="37">
        <v>701056900</v>
      </c>
      <c r="K25" s="37">
        <v>782850950</v>
      </c>
      <c r="L25" s="37">
        <v>1162890400</v>
      </c>
      <c r="M25" s="37">
        <v>1492033500</v>
      </c>
      <c r="N25" s="37">
        <v>672923950</v>
      </c>
      <c r="O25" s="43"/>
    </row>
    <row r="26" spans="1:15">
      <c r="A26" s="45" t="s">
        <v>45</v>
      </c>
      <c r="B26" s="36">
        <f t="shared" si="2"/>
        <v>10953011423</v>
      </c>
      <c r="C26" s="37">
        <v>1111828995</v>
      </c>
      <c r="D26" s="37">
        <v>683523540</v>
      </c>
      <c r="E26" s="37">
        <v>1140297430</v>
      </c>
      <c r="F26" s="37">
        <v>1003903745</v>
      </c>
      <c r="G26" s="37">
        <v>860613478</v>
      </c>
      <c r="H26" s="37">
        <v>687032350</v>
      </c>
      <c r="I26" s="37">
        <v>882608550</v>
      </c>
      <c r="J26" s="37">
        <v>806359450</v>
      </c>
      <c r="K26" s="37">
        <v>803998800</v>
      </c>
      <c r="L26" s="37">
        <v>1047634585</v>
      </c>
      <c r="M26" s="37">
        <v>1296142757</v>
      </c>
      <c r="N26" s="37">
        <v>629067743</v>
      </c>
      <c r="O26" s="43"/>
    </row>
    <row r="27" spans="1:15">
      <c r="A27" s="46" t="s">
        <v>46</v>
      </c>
      <c r="B27" s="36">
        <f t="shared" si="2"/>
        <v>5971376006</v>
      </c>
      <c r="C27" s="37">
        <v>584572681</v>
      </c>
      <c r="D27" s="37">
        <v>442702220</v>
      </c>
      <c r="E27" s="37">
        <v>637266500</v>
      </c>
      <c r="F27" s="37">
        <v>585834565</v>
      </c>
      <c r="G27" s="37">
        <v>529487030</v>
      </c>
      <c r="H27" s="37">
        <v>403975110</v>
      </c>
      <c r="I27" s="37">
        <v>454911500</v>
      </c>
      <c r="J27" s="37">
        <v>395339420</v>
      </c>
      <c r="K27" s="37">
        <v>452366410</v>
      </c>
      <c r="L27" s="37">
        <v>515548540</v>
      </c>
      <c r="M27" s="37">
        <v>676036200</v>
      </c>
      <c r="N27" s="37">
        <v>293335830</v>
      </c>
      <c r="O27" s="43"/>
    </row>
    <row r="28" spans="1:15">
      <c r="A28" s="46" t="s">
        <v>47</v>
      </c>
      <c r="B28" s="36">
        <f t="shared" si="2"/>
        <v>0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3"/>
    </row>
    <row r="29" spans="1:15">
      <c r="A29" s="46" t="s">
        <v>48</v>
      </c>
      <c r="B29" s="36">
        <f t="shared" si="2"/>
        <v>8423419699</v>
      </c>
      <c r="C29" s="37">
        <v>1382149699</v>
      </c>
      <c r="D29" s="37">
        <v>706145000</v>
      </c>
      <c r="E29" s="37">
        <v>986333000</v>
      </c>
      <c r="F29" s="37">
        <v>577442000</v>
      </c>
      <c r="G29" s="37">
        <v>552196000</v>
      </c>
      <c r="H29" s="37">
        <v>595030000</v>
      </c>
      <c r="I29" s="37">
        <v>598875000</v>
      </c>
      <c r="J29" s="37">
        <v>489169000</v>
      </c>
      <c r="K29" s="37">
        <v>491195000</v>
      </c>
      <c r="L29" s="37">
        <v>742780000</v>
      </c>
      <c r="M29" s="37">
        <v>903039000</v>
      </c>
      <c r="N29" s="37">
        <v>399066000</v>
      </c>
      <c r="O29" s="43"/>
    </row>
    <row r="30" spans="1:15">
      <c r="A30" s="46" t="s">
        <v>49</v>
      </c>
      <c r="B30" s="36">
        <f t="shared" si="2"/>
        <v>4668116850</v>
      </c>
      <c r="C30" s="37">
        <v>543454546</v>
      </c>
      <c r="D30" s="37">
        <v>345577000</v>
      </c>
      <c r="E30" s="37">
        <v>500792500</v>
      </c>
      <c r="F30" s="37">
        <v>353891000</v>
      </c>
      <c r="G30" s="37">
        <v>336602304</v>
      </c>
      <c r="H30" s="37">
        <v>355771500</v>
      </c>
      <c r="I30" s="37">
        <v>318600000</v>
      </c>
      <c r="J30" s="37">
        <v>343146000</v>
      </c>
      <c r="K30" s="37">
        <v>331223000</v>
      </c>
      <c r="L30" s="37">
        <v>437752000</v>
      </c>
      <c r="M30" s="37">
        <v>549392000</v>
      </c>
      <c r="N30" s="37">
        <v>251915000</v>
      </c>
      <c r="O30" s="43"/>
    </row>
    <row r="31" spans="1:15">
      <c r="A31" s="46" t="s">
        <v>50</v>
      </c>
      <c r="B31" s="36">
        <f t="shared" si="2"/>
        <v>4776555328</v>
      </c>
      <c r="C31" s="42"/>
      <c r="D31" s="42"/>
      <c r="E31" s="37">
        <v>98794600</v>
      </c>
      <c r="F31" s="37">
        <v>403555000</v>
      </c>
      <c r="G31" s="37">
        <v>373151200</v>
      </c>
      <c r="H31" s="37">
        <v>409906561</v>
      </c>
      <c r="I31" s="37">
        <v>487258000</v>
      </c>
      <c r="J31" s="37">
        <v>624972967</v>
      </c>
      <c r="K31" s="37">
        <v>487229000</v>
      </c>
      <c r="L31" s="37">
        <v>640074000</v>
      </c>
      <c r="M31" s="37">
        <v>781050000</v>
      </c>
      <c r="N31" s="37">
        <v>470564000</v>
      </c>
      <c r="O31" s="43"/>
    </row>
    <row r="32" spans="1:15">
      <c r="A32" s="47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3"/>
    </row>
    <row r="33" spans="1:15">
      <c r="A33" s="48" t="s">
        <v>51</v>
      </c>
      <c r="B33" s="49" t="s">
        <v>52</v>
      </c>
      <c r="C33" s="34" t="s">
        <v>1</v>
      </c>
      <c r="D33" s="34" t="s">
        <v>2</v>
      </c>
      <c r="E33" s="34" t="s">
        <v>3</v>
      </c>
      <c r="F33" s="34" t="s">
        <v>4</v>
      </c>
      <c r="G33" s="34" t="s">
        <v>5</v>
      </c>
      <c r="H33" s="34" t="s">
        <v>6</v>
      </c>
      <c r="I33" s="34" t="s">
        <v>7</v>
      </c>
      <c r="J33" s="34" t="s">
        <v>8</v>
      </c>
      <c r="K33" s="34" t="s">
        <v>9</v>
      </c>
      <c r="L33" s="34" t="s">
        <v>10</v>
      </c>
      <c r="M33" s="34" t="s">
        <v>11</v>
      </c>
      <c r="N33" s="34" t="s">
        <v>12</v>
      </c>
      <c r="O33" s="43"/>
    </row>
    <row r="34" spans="1:15">
      <c r="A34" s="45" t="s">
        <v>40</v>
      </c>
      <c r="B34" s="50">
        <f t="shared" ref="B34:N34" si="3">B5/B21</f>
        <v>3.1512138357828616E-2</v>
      </c>
      <c r="C34" s="50">
        <f t="shared" si="3"/>
        <v>2.095262298165243E-2</v>
      </c>
      <c r="D34" s="50">
        <f t="shared" si="3"/>
        <v>4.1569304232468691E-2</v>
      </c>
      <c r="E34" s="50">
        <f t="shared" si="3"/>
        <v>2.8504630143629733E-2</v>
      </c>
      <c r="F34" s="50">
        <f t="shared" si="3"/>
        <v>3.0287371729135929E-2</v>
      </c>
      <c r="G34" s="50">
        <f t="shared" si="3"/>
        <v>6.2598756280715678E-2</v>
      </c>
      <c r="H34" s="50">
        <f t="shared" si="3"/>
        <v>2.7767386857961495E-2</v>
      </c>
      <c r="I34" s="50">
        <f t="shared" si="3"/>
        <v>3.4375189254224441E-2</v>
      </c>
      <c r="J34" s="50">
        <f t="shared" si="3"/>
        <v>2.7392107909497851E-2</v>
      </c>
      <c r="K34" s="50">
        <f t="shared" si="3"/>
        <v>3.286795943923343E-2</v>
      </c>
      <c r="L34" s="50">
        <f t="shared" si="3"/>
        <v>2.6350925550880144E-2</v>
      </c>
      <c r="M34" s="50">
        <f t="shared" si="3"/>
        <v>3.1647708406515991E-2</v>
      </c>
      <c r="N34" s="50">
        <f t="shared" si="3"/>
        <v>4.6181052869587111E-2</v>
      </c>
      <c r="O34" s="43"/>
    </row>
    <row r="35" spans="1:15">
      <c r="A35" s="45" t="s">
        <v>41</v>
      </c>
      <c r="B35" s="50">
        <f t="shared" ref="B35:N35" si="4">B6/B22</f>
        <v>4.3744761209019774E-2</v>
      </c>
      <c r="C35" s="50">
        <f t="shared" si="4"/>
        <v>2.3438825431196166E-2</v>
      </c>
      <c r="D35" s="50">
        <f t="shared" si="4"/>
        <v>5.7570384663822666E-2</v>
      </c>
      <c r="E35" s="50">
        <f t="shared" si="4"/>
        <v>3.0258238901714748E-2</v>
      </c>
      <c r="F35" s="50">
        <f t="shared" si="4"/>
        <v>3.5960082495823137E-2</v>
      </c>
      <c r="G35" s="50">
        <f t="shared" si="4"/>
        <v>2.9395892611634316E-2</v>
      </c>
      <c r="H35" s="50">
        <f t="shared" si="4"/>
        <v>5.0900763253460261E-2</v>
      </c>
      <c r="I35" s="50">
        <f t="shared" si="4"/>
        <v>6.4790612563556213E-2</v>
      </c>
      <c r="J35" s="50">
        <f t="shared" si="4"/>
        <v>5.1292858739332536E-2</v>
      </c>
      <c r="K35" s="50">
        <f t="shared" si="4"/>
        <v>4.4564650269607819E-2</v>
      </c>
      <c r="L35" s="50">
        <f t="shared" si="4"/>
        <v>4.4637434116221154E-2</v>
      </c>
      <c r="M35" s="50">
        <f t="shared" si="4"/>
        <v>5.9147488666445355E-2</v>
      </c>
      <c r="N35" s="50">
        <f t="shared" si="4"/>
        <v>7.8524579765038044E-2</v>
      </c>
      <c r="O35" s="43"/>
    </row>
    <row r="36" spans="1:15">
      <c r="A36" s="45" t="s">
        <v>42</v>
      </c>
      <c r="B36" s="50">
        <f t="shared" ref="B36:N36" si="5">B7/B23</f>
        <v>6.3004261553674445E-2</v>
      </c>
      <c r="C36" s="50">
        <f t="shared" si="5"/>
        <v>5.952825886617797E-2</v>
      </c>
      <c r="D36" s="50">
        <f t="shared" si="5"/>
        <v>7.5567408298427979E-2</v>
      </c>
      <c r="E36" s="50">
        <f t="shared" si="5"/>
        <v>4.9539511991729297E-2</v>
      </c>
      <c r="F36" s="50">
        <f t="shared" si="5"/>
        <v>5.2407491181338466E-2</v>
      </c>
      <c r="G36" s="50">
        <f t="shared" si="5"/>
        <v>5.1034479190588046E-2</v>
      </c>
      <c r="H36" s="50">
        <f t="shared" si="5"/>
        <v>8.4518664358463433E-2</v>
      </c>
      <c r="I36" s="50">
        <f t="shared" si="5"/>
        <v>6.9162561494699445E-2</v>
      </c>
      <c r="J36" s="50">
        <f t="shared" si="5"/>
        <v>6.664300575033133E-2</v>
      </c>
      <c r="K36" s="50">
        <f t="shared" si="5"/>
        <v>7.0104626917555202E-2</v>
      </c>
      <c r="L36" s="50">
        <f t="shared" si="5"/>
        <v>6.1388955321760134E-2</v>
      </c>
      <c r="M36" s="50">
        <f t="shared" si="5"/>
        <v>5.9797034159733545E-2</v>
      </c>
      <c r="N36" s="50">
        <f t="shared" si="5"/>
        <v>8.4528235228095633E-2</v>
      </c>
      <c r="O36" s="43"/>
    </row>
    <row r="37" spans="1:15">
      <c r="A37" s="45" t="s">
        <v>43</v>
      </c>
      <c r="B37" s="50">
        <f t="shared" ref="B37:N37" si="6">B8/B24</f>
        <v>4.8221856369923509E-2</v>
      </c>
      <c r="C37" s="50">
        <f t="shared" si="6"/>
        <v>4.511101529152016E-2</v>
      </c>
      <c r="D37" s="50">
        <f t="shared" si="6"/>
        <v>7.1123114477506799E-2</v>
      </c>
      <c r="E37" s="50">
        <f t="shared" si="6"/>
        <v>4.7105633093670073E-2</v>
      </c>
      <c r="F37" s="50">
        <f t="shared" si="6"/>
        <v>5.1180163906988117E-2</v>
      </c>
      <c r="G37" s="50">
        <f t="shared" si="6"/>
        <v>4.2031461997394569E-2</v>
      </c>
      <c r="H37" s="50">
        <f t="shared" si="6"/>
        <v>5.0228642840779283E-2</v>
      </c>
      <c r="I37" s="50">
        <f t="shared" si="6"/>
        <v>5.4243587752238288E-2</v>
      </c>
      <c r="J37" s="50">
        <f t="shared" si="6"/>
        <v>4.2593582884587193E-2</v>
      </c>
      <c r="K37" s="50">
        <f t="shared" si="6"/>
        <v>4.6054996630143362E-2</v>
      </c>
      <c r="L37" s="50">
        <f t="shared" si="6"/>
        <v>5.0039159578142443E-2</v>
      </c>
      <c r="M37" s="50">
        <f t="shared" si="6"/>
        <v>4.0509401219867791E-2</v>
      </c>
      <c r="N37" s="50">
        <f t="shared" si="6"/>
        <v>5.1497170130656918E-2</v>
      </c>
      <c r="O37" s="43"/>
    </row>
    <row r="38" spans="1:15">
      <c r="A38" s="45" t="s">
        <v>44</v>
      </c>
      <c r="B38" s="50">
        <f t="shared" ref="B38:N38" si="7">B9/B25</f>
        <v>4.5306256171878528E-2</v>
      </c>
      <c r="C38" s="50">
        <f t="shared" si="7"/>
        <v>2.7676821474099306E-2</v>
      </c>
      <c r="D38" s="50">
        <f t="shared" si="7"/>
        <v>7.6292132918149458E-2</v>
      </c>
      <c r="E38" s="50">
        <f t="shared" si="7"/>
        <v>3.1072408101122537E-2</v>
      </c>
      <c r="F38" s="50">
        <f t="shared" si="7"/>
        <v>3.5050765051547327E-2</v>
      </c>
      <c r="G38" s="50">
        <f t="shared" si="7"/>
        <v>3.97366021311421E-2</v>
      </c>
      <c r="H38" s="50">
        <f t="shared" si="7"/>
        <v>6.4128664030378216E-2</v>
      </c>
      <c r="I38" s="50">
        <f t="shared" si="7"/>
        <v>5.4028132069293459E-2</v>
      </c>
      <c r="J38" s="50">
        <f t="shared" si="7"/>
        <v>6.8799632383619649E-2</v>
      </c>
      <c r="K38" s="50">
        <f t="shared" si="7"/>
        <v>4.4756357516076338E-2</v>
      </c>
      <c r="L38" s="50">
        <f t="shared" si="7"/>
        <v>4.7336366350603634E-2</v>
      </c>
      <c r="M38" s="50">
        <f t="shared" si="7"/>
        <v>4.2092020722054833E-2</v>
      </c>
      <c r="N38" s="50">
        <f t="shared" si="7"/>
        <v>4.9455711897310239E-2</v>
      </c>
      <c r="O38" s="43"/>
    </row>
    <row r="39" spans="1:15">
      <c r="A39" s="45" t="s">
        <v>45</v>
      </c>
      <c r="B39" s="50">
        <f t="shared" ref="B39:N39" si="8">B10/B26</f>
        <v>4.7201537918089322E-2</v>
      </c>
      <c r="C39" s="50">
        <f t="shared" si="8"/>
        <v>2.5408557545308484E-2</v>
      </c>
      <c r="D39" s="50">
        <f t="shared" si="8"/>
        <v>6.8420297565757571E-2</v>
      </c>
      <c r="E39" s="50">
        <f t="shared" si="8"/>
        <v>4.3935438844232073E-2</v>
      </c>
      <c r="F39" s="50">
        <f t="shared" si="8"/>
        <v>5.5992825288245139E-2</v>
      </c>
      <c r="G39" s="50">
        <f t="shared" si="8"/>
        <v>5.7401684104231514E-2</v>
      </c>
      <c r="H39" s="50">
        <f t="shared" si="8"/>
        <v>7.592466060732074E-2</v>
      </c>
      <c r="I39" s="50">
        <f t="shared" si="8"/>
        <v>4.9965527752931921E-2</v>
      </c>
      <c r="J39" s="50">
        <f t="shared" si="8"/>
        <v>5.5180494257244708E-2</v>
      </c>
      <c r="K39" s="50">
        <f t="shared" si="8"/>
        <v>4.5758555858541085E-2</v>
      </c>
      <c r="L39" s="50">
        <f t="shared" si="8"/>
        <v>3.3444384618134766E-2</v>
      </c>
      <c r="M39" s="50">
        <f t="shared" si="8"/>
        <v>3.5446691926389398E-2</v>
      </c>
      <c r="N39" s="50">
        <f t="shared" si="8"/>
        <v>4.4099045466395821E-2</v>
      </c>
      <c r="O39" s="43"/>
    </row>
    <row r="40" spans="1:15">
      <c r="A40" s="46" t="s">
        <v>46</v>
      </c>
      <c r="B40" s="50">
        <f t="shared" ref="B40:N40" si="9">B11/B27</f>
        <v>6.8560559842260255E-2</v>
      </c>
      <c r="C40" s="50">
        <f t="shared" si="9"/>
        <v>8.4742728509408394E-2</v>
      </c>
      <c r="D40" s="50">
        <f t="shared" si="9"/>
        <v>8.7978544584664614E-2</v>
      </c>
      <c r="E40" s="50">
        <f t="shared" si="9"/>
        <v>6.9464467377462966E-2</v>
      </c>
      <c r="F40" s="50">
        <f t="shared" si="9"/>
        <v>6.1835182087625708E-2</v>
      </c>
      <c r="G40" s="50">
        <f t="shared" si="9"/>
        <v>6.0915913275533869E-2</v>
      </c>
      <c r="H40" s="50">
        <f t="shared" si="9"/>
        <v>6.6732304373900653E-2</v>
      </c>
      <c r="I40" s="50">
        <f t="shared" si="9"/>
        <v>6.6325430330954477E-2</v>
      </c>
      <c r="J40" s="50">
        <f t="shared" si="9"/>
        <v>8.1417919316014581E-2</v>
      </c>
      <c r="K40" s="50">
        <f t="shared" si="9"/>
        <v>8.0137815714478006E-2</v>
      </c>
      <c r="L40" s="50">
        <f t="shared" si="9"/>
        <v>5.3901539513621741E-2</v>
      </c>
      <c r="M40" s="50">
        <f t="shared" si="9"/>
        <v>5.0286631100523907E-2</v>
      </c>
      <c r="N40" s="50">
        <f t="shared" si="9"/>
        <v>7.0953988130260118E-2</v>
      </c>
      <c r="O40" s="43"/>
    </row>
    <row r="41" spans="1:15">
      <c r="A41" s="46" t="s">
        <v>48</v>
      </c>
      <c r="B41" s="50">
        <f t="shared" ref="B41:N41" si="10">B13/B29</f>
        <v>9.626721331435821E-2</v>
      </c>
      <c r="C41" s="50">
        <f t="shared" si="10"/>
        <v>6.6895110614208511E-2</v>
      </c>
      <c r="D41" s="50">
        <f t="shared" si="10"/>
        <v>0.13373991743905289</v>
      </c>
      <c r="E41" s="50">
        <f t="shared" si="10"/>
        <v>8.1734190177151125E-2</v>
      </c>
      <c r="F41" s="50">
        <f t="shared" si="10"/>
        <v>9.7190448564531157E-2</v>
      </c>
      <c r="G41" s="50">
        <f t="shared" si="10"/>
        <v>0.10781483386333839</v>
      </c>
      <c r="H41" s="50">
        <f t="shared" si="10"/>
        <v>9.4918836025074366E-2</v>
      </c>
      <c r="I41" s="50">
        <f t="shared" si="10"/>
        <v>9.5217457733249841E-2</v>
      </c>
      <c r="J41" s="50">
        <f t="shared" si="10"/>
        <v>0.10413286410218145</v>
      </c>
      <c r="K41" s="50">
        <f t="shared" si="10"/>
        <v>9.77966754547583E-2</v>
      </c>
      <c r="L41" s="50">
        <f t="shared" si="10"/>
        <v>9.3044291714908856E-2</v>
      </c>
      <c r="M41" s="50">
        <f t="shared" si="10"/>
        <v>0.10442649431530643</v>
      </c>
      <c r="N41" s="50">
        <f t="shared" si="10"/>
        <v>0.12989094786326072</v>
      </c>
      <c r="O41" s="43"/>
    </row>
    <row r="42" spans="1:15">
      <c r="A42" s="46" t="s">
        <v>49</v>
      </c>
      <c r="B42" s="50">
        <f t="shared" ref="B42:N42" si="11">B14/B30</f>
        <v>0.16118123606952983</v>
      </c>
      <c r="C42" s="50">
        <f t="shared" si="11"/>
        <v>0.14430577419440704</v>
      </c>
      <c r="D42" s="50">
        <f t="shared" si="11"/>
        <v>0.22594666311704772</v>
      </c>
      <c r="E42" s="50">
        <f t="shared" si="11"/>
        <v>0.16376041574105044</v>
      </c>
      <c r="F42" s="50">
        <f t="shared" si="11"/>
        <v>0.19256862988886408</v>
      </c>
      <c r="G42" s="50">
        <f t="shared" si="11"/>
        <v>0.20977236982905501</v>
      </c>
      <c r="H42" s="50">
        <f t="shared" si="11"/>
        <v>0.15675029618729999</v>
      </c>
      <c r="I42" s="50">
        <f t="shared" si="11"/>
        <v>0.17237105147520401</v>
      </c>
      <c r="J42" s="50">
        <f t="shared" si="11"/>
        <v>0.126963362533732</v>
      </c>
      <c r="K42" s="50">
        <f t="shared" si="11"/>
        <v>0.13809504472817408</v>
      </c>
      <c r="L42" s="50">
        <f t="shared" si="11"/>
        <v>0.13413718726584917</v>
      </c>
      <c r="M42" s="50">
        <f t="shared" si="11"/>
        <v>0.13351694964615429</v>
      </c>
      <c r="N42" s="50">
        <f t="shared" si="11"/>
        <v>0.17099098108488975</v>
      </c>
      <c r="O42" s="43"/>
    </row>
    <row r="43" spans="1:15">
      <c r="A43" s="46" t="s">
        <v>50</v>
      </c>
      <c r="B43" s="50">
        <f t="shared" ref="B43:N43" si="12">B15/B31</f>
        <v>0.11428161038983782</v>
      </c>
      <c r="C43" s="50" t="e">
        <f t="shared" si="12"/>
        <v>#DIV/0!</v>
      </c>
      <c r="D43" s="50" t="e">
        <f t="shared" si="12"/>
        <v>#DIV/0!</v>
      </c>
      <c r="E43" s="50">
        <f t="shared" si="12"/>
        <v>0.45620506586392373</v>
      </c>
      <c r="F43" s="50">
        <f t="shared" si="12"/>
        <v>0.13720870761110629</v>
      </c>
      <c r="G43" s="50">
        <f t="shared" si="12"/>
        <v>0.12014096966591559</v>
      </c>
      <c r="H43" s="50">
        <f t="shared" si="12"/>
        <v>0.12882320514991707</v>
      </c>
      <c r="I43" s="50">
        <f t="shared" si="12"/>
        <v>0.10094342217059546</v>
      </c>
      <c r="J43" s="50">
        <f t="shared" si="12"/>
        <v>8.0665658615598962E-2</v>
      </c>
      <c r="K43" s="50">
        <f t="shared" si="12"/>
        <v>0.10118952689597704</v>
      </c>
      <c r="L43" s="50">
        <f t="shared" si="12"/>
        <v>9.1786416883047894E-2</v>
      </c>
      <c r="M43" s="50">
        <f t="shared" si="12"/>
        <v>0.10969351898085911</v>
      </c>
      <c r="N43" s="50">
        <f t="shared" si="12"/>
        <v>0.11574687821422804</v>
      </c>
      <c r="O43" s="43"/>
    </row>
    <row r="44" spans="1:15">
      <c r="A44" s="51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43"/>
      <c r="O44" s="43"/>
    </row>
    <row r="45" spans="1:15">
      <c r="A45" s="1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2" t="s">
        <v>9</v>
      </c>
      <c r="K45" s="2" t="s">
        <v>10</v>
      </c>
      <c r="L45" s="2" t="s">
        <v>11</v>
      </c>
      <c r="M45" s="3" t="s">
        <v>12</v>
      </c>
      <c r="N45" s="43"/>
      <c r="O45" s="43"/>
    </row>
    <row r="46" spans="1:15">
      <c r="A46" s="53" t="s">
        <v>27</v>
      </c>
      <c r="B46" s="6">
        <f t="shared" ref="B46:M46" si="13">SUM(B47:B49)</f>
        <v>1925604245</v>
      </c>
      <c r="C46" s="6">
        <f t="shared" si="13"/>
        <v>1051722000</v>
      </c>
      <c r="D46" s="6">
        <f t="shared" si="13"/>
        <v>1585920100</v>
      </c>
      <c r="E46" s="6">
        <f t="shared" si="13"/>
        <v>1334888000</v>
      </c>
      <c r="F46" s="6">
        <f t="shared" si="13"/>
        <v>1261949504</v>
      </c>
      <c r="G46" s="6">
        <f t="shared" si="13"/>
        <v>1360708061</v>
      </c>
      <c r="H46" s="6">
        <f t="shared" si="13"/>
        <v>1404733000</v>
      </c>
      <c r="I46" s="6">
        <f t="shared" si="13"/>
        <v>1457287967</v>
      </c>
      <c r="J46" s="6">
        <f t="shared" si="13"/>
        <v>1309647000</v>
      </c>
      <c r="K46" s="6">
        <f t="shared" si="13"/>
        <v>1820606000</v>
      </c>
      <c r="L46" s="6">
        <f t="shared" si="13"/>
        <v>2233481000</v>
      </c>
      <c r="M46" s="7">
        <f t="shared" si="13"/>
        <v>1121545000</v>
      </c>
    </row>
    <row r="47" spans="1:15">
      <c r="A47" s="53" t="s">
        <v>28</v>
      </c>
      <c r="B47" s="6">
        <v>1382149699</v>
      </c>
      <c r="C47" s="6">
        <v>706145000</v>
      </c>
      <c r="D47" s="6">
        <v>986333000</v>
      </c>
      <c r="E47" s="6">
        <v>577442000</v>
      </c>
      <c r="F47" s="6">
        <v>552196000</v>
      </c>
      <c r="G47" s="6">
        <v>595030000</v>
      </c>
      <c r="H47" s="6">
        <v>598875000</v>
      </c>
      <c r="I47" s="6">
        <v>489169000</v>
      </c>
      <c r="J47" s="6">
        <v>491195000</v>
      </c>
      <c r="K47" s="6">
        <v>742780000</v>
      </c>
      <c r="L47" s="6">
        <v>903039000</v>
      </c>
      <c r="M47" s="7">
        <v>399066000</v>
      </c>
    </row>
    <row r="48" spans="1:15">
      <c r="A48" s="53" t="s">
        <v>29</v>
      </c>
      <c r="B48" s="6">
        <v>543454546</v>
      </c>
      <c r="C48" s="6">
        <v>345577000</v>
      </c>
      <c r="D48" s="6">
        <v>500792500</v>
      </c>
      <c r="E48" s="6">
        <v>353891000</v>
      </c>
      <c r="F48" s="6">
        <v>336602304</v>
      </c>
      <c r="G48" s="6">
        <v>355771500</v>
      </c>
      <c r="H48" s="6">
        <v>318600000</v>
      </c>
      <c r="I48" s="6">
        <v>343146000</v>
      </c>
      <c r="J48" s="6">
        <v>331223000</v>
      </c>
      <c r="K48" s="6">
        <v>437752000</v>
      </c>
      <c r="L48" s="6">
        <v>549392000</v>
      </c>
      <c r="M48" s="7">
        <v>251915000</v>
      </c>
    </row>
    <row r="49" spans="1:13">
      <c r="A49" s="54" t="s">
        <v>30</v>
      </c>
      <c r="B49" s="10"/>
      <c r="C49" s="10"/>
      <c r="D49" s="10">
        <v>98794600</v>
      </c>
      <c r="E49" s="10">
        <v>403555000</v>
      </c>
      <c r="F49" s="10">
        <v>373151200</v>
      </c>
      <c r="G49" s="10">
        <v>409906561</v>
      </c>
      <c r="H49" s="10">
        <v>487258000</v>
      </c>
      <c r="I49" s="10">
        <v>624972967</v>
      </c>
      <c r="J49" s="10">
        <v>487229000</v>
      </c>
      <c r="K49" s="10">
        <v>640074000</v>
      </c>
      <c r="L49" s="10">
        <v>781050000</v>
      </c>
      <c r="M49" s="11">
        <v>470564000</v>
      </c>
    </row>
    <row r="50" spans="1:13" ht="15.75" customHeight="1">
      <c r="A50" s="55"/>
    </row>
    <row r="51" spans="1:13" ht="15.75" customHeight="1">
      <c r="A51" s="55"/>
    </row>
    <row r="52" spans="1:13" ht="15.75" customHeight="1">
      <c r="A52" s="56" t="s">
        <v>53</v>
      </c>
    </row>
    <row r="53" spans="1:13" ht="15.75" customHeight="1">
      <c r="A53" s="56" t="s">
        <v>54</v>
      </c>
    </row>
    <row r="54" spans="1:13" ht="15.75" customHeight="1">
      <c r="A54" s="56" t="s">
        <v>55</v>
      </c>
    </row>
    <row r="55" spans="1:13" ht="15.75" customHeight="1">
      <c r="A55" s="56" t="s">
        <v>56</v>
      </c>
    </row>
    <row r="56" spans="1:13" ht="15.75" customHeight="1">
      <c r="A56" s="56" t="s">
        <v>57</v>
      </c>
    </row>
    <row r="57" spans="1:13" ht="15.75" customHeight="1">
      <c r="A57" s="56" t="s">
        <v>58</v>
      </c>
    </row>
    <row r="58" spans="1:13" ht="15.75" customHeight="1">
      <c r="A58" s="56" t="s">
        <v>59</v>
      </c>
    </row>
    <row r="59" spans="1:13" ht="15.75" customHeight="1">
      <c r="A59" s="56" t="s">
        <v>60</v>
      </c>
    </row>
    <row r="60" spans="1:13" ht="15.75" customHeight="1">
      <c r="A60" s="56" t="s">
        <v>61</v>
      </c>
    </row>
    <row r="61" spans="1:13" ht="15.75" customHeight="1">
      <c r="A61" s="56" t="s">
        <v>62</v>
      </c>
    </row>
    <row r="62" spans="1:13" ht="15.75" customHeight="1">
      <c r="A62" s="56" t="s">
        <v>63</v>
      </c>
    </row>
    <row r="63" spans="1:13" ht="15.75" customHeight="1">
      <c r="A63" s="56" t="s">
        <v>64</v>
      </c>
    </row>
    <row r="64" spans="1:13" ht="15.75" customHeight="1">
      <c r="A64" s="56" t="s">
        <v>65</v>
      </c>
    </row>
    <row r="65" spans="1:1" ht="15.75" customHeight="1">
      <c r="A65" s="56" t="s">
        <v>66</v>
      </c>
    </row>
    <row r="66" spans="1:1" ht="15.75" customHeight="1">
      <c r="A66" s="56" t="s">
        <v>67</v>
      </c>
    </row>
    <row r="67" spans="1:1" ht="15.75" customHeight="1">
      <c r="A67" s="56" t="s">
        <v>68</v>
      </c>
    </row>
    <row r="68" spans="1:1" ht="15.75" customHeight="1">
      <c r="A68" s="56" t="s">
        <v>69</v>
      </c>
    </row>
    <row r="69" spans="1:1" ht="15.75" customHeight="1">
      <c r="A69" s="56" t="s">
        <v>70</v>
      </c>
    </row>
    <row r="70" spans="1:1" ht="15.75" customHeight="1">
      <c r="A70" s="5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28"/>
  <sheetViews>
    <sheetView tabSelected="1" topLeftCell="C4" workbookViewId="0">
      <selection activeCell="K23" sqref="K23"/>
    </sheetView>
  </sheetViews>
  <sheetFormatPr defaultColWidth="12.5703125" defaultRowHeight="15.75" customHeight="1"/>
  <cols>
    <col min="2" max="2" width="14.85546875" bestFit="1" customWidth="1"/>
    <col min="3" max="3" width="14.7109375" bestFit="1" customWidth="1"/>
    <col min="4" max="4" width="13.42578125" bestFit="1" customWidth="1"/>
    <col min="5" max="5" width="13.140625" bestFit="1" customWidth="1"/>
    <col min="6" max="8" width="13.42578125" bestFit="1" customWidth="1"/>
    <col min="9" max="9" width="13.85546875" bestFit="1" customWidth="1"/>
    <col min="10" max="10" width="14" bestFit="1" customWidth="1"/>
    <col min="11" max="11" width="31.42578125" bestFit="1" customWidth="1"/>
    <col min="12" max="12" width="15" customWidth="1"/>
    <col min="13" max="13" width="15.42578125" bestFit="1" customWidth="1"/>
    <col min="14" max="14" width="14.42578125" bestFit="1" customWidth="1"/>
  </cols>
  <sheetData>
    <row r="1" spans="1:14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>
      <c r="A2" s="58" t="s">
        <v>72</v>
      </c>
      <c r="B2" s="59" t="s">
        <v>73</v>
      </c>
      <c r="C2" s="59" t="s">
        <v>74</v>
      </c>
      <c r="D2" s="59" t="s">
        <v>75</v>
      </c>
      <c r="E2" s="59" t="s">
        <v>76</v>
      </c>
      <c r="F2" s="59" t="s">
        <v>77</v>
      </c>
      <c r="G2" s="59" t="s">
        <v>78</v>
      </c>
      <c r="H2" s="59" t="s">
        <v>79</v>
      </c>
      <c r="I2" s="59" t="s">
        <v>80</v>
      </c>
      <c r="J2" s="59" t="s">
        <v>81</v>
      </c>
      <c r="K2" s="59" t="s">
        <v>82</v>
      </c>
      <c r="L2" s="59" t="s">
        <v>83</v>
      </c>
      <c r="M2" s="60" t="s">
        <v>84</v>
      </c>
      <c r="N2" s="4" t="s">
        <v>13</v>
      </c>
    </row>
    <row r="3" spans="1:14">
      <c r="A3" s="61" t="s">
        <v>85</v>
      </c>
      <c r="B3" s="62">
        <v>63894391</v>
      </c>
      <c r="C3" s="63">
        <v>55895151</v>
      </c>
      <c r="D3" s="63">
        <v>140544378</v>
      </c>
      <c r="E3" s="63">
        <v>87338656</v>
      </c>
      <c r="F3" s="63">
        <v>96670290</v>
      </c>
      <c r="G3" s="63">
        <v>96670290</v>
      </c>
      <c r="H3" s="63">
        <v>80232236</v>
      </c>
      <c r="I3" s="63">
        <v>75006138</v>
      </c>
      <c r="J3" s="63">
        <v>77020117</v>
      </c>
      <c r="K3" s="62">
        <v>72484118</v>
      </c>
      <c r="L3" s="62">
        <v>69616811</v>
      </c>
      <c r="M3" s="64">
        <v>53215447</v>
      </c>
      <c r="N3" s="57">
        <f t="shared" ref="N3:N4" si="0">SUM(B3:M3)</f>
        <v>968588023</v>
      </c>
    </row>
    <row r="4" spans="1:14">
      <c r="A4" s="61" t="s">
        <v>86</v>
      </c>
      <c r="B4" s="62">
        <v>150000000</v>
      </c>
      <c r="C4" s="62">
        <v>136000000</v>
      </c>
      <c r="D4" s="62">
        <v>419000000</v>
      </c>
      <c r="E4" s="62">
        <v>215000000</v>
      </c>
      <c r="F4" s="62">
        <v>263000000</v>
      </c>
      <c r="G4" s="62">
        <v>277000000</v>
      </c>
      <c r="H4" s="62">
        <v>277000000</v>
      </c>
      <c r="I4" s="62">
        <v>301000000</v>
      </c>
      <c r="J4" s="62">
        <v>246000000</v>
      </c>
      <c r="K4" s="62">
        <v>209000000</v>
      </c>
      <c r="L4" s="62">
        <v>178000000</v>
      </c>
      <c r="M4" s="64">
        <v>132000000</v>
      </c>
      <c r="N4" s="57">
        <f t="shared" si="0"/>
        <v>2803000000</v>
      </c>
    </row>
    <row r="5" spans="1:14">
      <c r="A5" s="61" t="s">
        <v>51</v>
      </c>
      <c r="B5" s="65">
        <f t="shared" ref="B5:L5" si="1">B3/B4</f>
        <v>0.42596260666666669</v>
      </c>
      <c r="C5" s="65">
        <f t="shared" si="1"/>
        <v>0.41099375735294119</v>
      </c>
      <c r="D5" s="65">
        <f t="shared" si="1"/>
        <v>0.33542810978520288</v>
      </c>
      <c r="E5" s="65">
        <f t="shared" si="1"/>
        <v>0.40622630697674417</v>
      </c>
      <c r="F5" s="65">
        <f t="shared" si="1"/>
        <v>0.36756764258555136</v>
      </c>
      <c r="G5" s="65">
        <f t="shared" si="1"/>
        <v>0.3489902166064982</v>
      </c>
      <c r="H5" s="65">
        <f t="shared" si="1"/>
        <v>0.28964706137184115</v>
      </c>
      <c r="I5" s="65">
        <f t="shared" si="1"/>
        <v>0.24918982724252492</v>
      </c>
      <c r="J5" s="65">
        <f t="shared" si="1"/>
        <v>0.31308990650406504</v>
      </c>
      <c r="K5" s="65">
        <f t="shared" si="1"/>
        <v>0.34681396172248802</v>
      </c>
      <c r="L5" s="65">
        <f t="shared" si="1"/>
        <v>0.39110567977528088</v>
      </c>
      <c r="M5" s="66"/>
      <c r="N5" s="67">
        <f>N3/N4</f>
        <v>0.34555405743845879</v>
      </c>
    </row>
    <row r="6" spans="1:14">
      <c r="A6" s="68" t="s">
        <v>87</v>
      </c>
      <c r="B6" s="69">
        <v>1580</v>
      </c>
      <c r="C6" s="69">
        <v>1775</v>
      </c>
      <c r="D6" s="69">
        <v>2767</v>
      </c>
      <c r="E6" s="69">
        <v>2161</v>
      </c>
      <c r="F6" s="69">
        <v>2179</v>
      </c>
      <c r="G6" s="69">
        <v>2.2890000000000001</v>
      </c>
      <c r="H6" s="69">
        <v>2.056</v>
      </c>
      <c r="I6" s="69">
        <v>1784</v>
      </c>
      <c r="J6" s="69">
        <v>1.238</v>
      </c>
      <c r="K6" s="69">
        <v>1.6339999999999999</v>
      </c>
      <c r="L6" s="69">
        <v>1.1819999999999999</v>
      </c>
      <c r="M6" s="70"/>
      <c r="N6" s="57"/>
    </row>
    <row r="7" spans="1:14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57"/>
    </row>
    <row r="8" spans="1:14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57"/>
    </row>
    <row r="9" spans="1:14">
      <c r="A9" s="72" t="s">
        <v>88</v>
      </c>
      <c r="B9" s="73" t="s">
        <v>73</v>
      </c>
      <c r="C9" s="73" t="s">
        <v>74</v>
      </c>
      <c r="D9" s="73" t="s">
        <v>75</v>
      </c>
      <c r="E9" s="73" t="s">
        <v>76</v>
      </c>
      <c r="F9" s="73" t="s">
        <v>77</v>
      </c>
      <c r="G9" s="73" t="s">
        <v>78</v>
      </c>
      <c r="H9" s="73" t="s">
        <v>79</v>
      </c>
      <c r="I9" s="73" t="s">
        <v>80</v>
      </c>
      <c r="J9" s="73" t="s">
        <v>81</v>
      </c>
      <c r="K9" s="73" t="s">
        <v>82</v>
      </c>
      <c r="L9" s="73" t="s">
        <v>83</v>
      </c>
      <c r="M9" s="74" t="s">
        <v>84</v>
      </c>
      <c r="N9" s="4" t="s">
        <v>13</v>
      </c>
    </row>
    <row r="10" spans="1:14">
      <c r="A10" s="75" t="s">
        <v>85</v>
      </c>
      <c r="B10" s="62">
        <v>20335265</v>
      </c>
      <c r="C10" s="62">
        <v>18570114</v>
      </c>
      <c r="D10" s="62">
        <v>25135235</v>
      </c>
      <c r="E10" s="62">
        <v>43988303</v>
      </c>
      <c r="F10" s="62">
        <v>55902551</v>
      </c>
      <c r="G10" s="62">
        <v>57735961</v>
      </c>
      <c r="H10" s="62">
        <v>57735961</v>
      </c>
      <c r="I10" s="62">
        <v>54493391</v>
      </c>
      <c r="J10" s="62">
        <v>49923016</v>
      </c>
      <c r="K10" s="62">
        <v>51475822</v>
      </c>
      <c r="L10" s="62">
        <v>63550040</v>
      </c>
      <c r="M10" s="76">
        <v>53574577</v>
      </c>
      <c r="N10" s="77">
        <f t="shared" ref="N10:N11" si="2">SUM(B10:M10)</f>
        <v>552420236</v>
      </c>
    </row>
    <row r="11" spans="1:14">
      <c r="A11" s="75" t="s">
        <v>86</v>
      </c>
      <c r="B11" s="62">
        <v>108000000</v>
      </c>
      <c r="C11" s="62">
        <v>90000000</v>
      </c>
      <c r="D11" s="62">
        <v>91000000</v>
      </c>
      <c r="E11" s="62">
        <v>74000000</v>
      </c>
      <c r="F11" s="62">
        <v>92000000</v>
      </c>
      <c r="G11" s="62">
        <v>177000000</v>
      </c>
      <c r="H11" s="62">
        <v>233000000</v>
      </c>
      <c r="I11" s="62">
        <v>199000000</v>
      </c>
      <c r="J11" s="62">
        <v>166000000</v>
      </c>
      <c r="K11" s="62">
        <v>227000000</v>
      </c>
      <c r="L11" s="62">
        <v>168000000</v>
      </c>
      <c r="M11" s="76">
        <v>175000000</v>
      </c>
      <c r="N11" s="77">
        <f t="shared" si="2"/>
        <v>1800000000</v>
      </c>
    </row>
    <row r="12" spans="1:14">
      <c r="A12" s="75" t="s">
        <v>51</v>
      </c>
      <c r="B12" s="65">
        <f t="shared" ref="B12:L12" si="3">B10/B11</f>
        <v>0.18828949074074075</v>
      </c>
      <c r="C12" s="65">
        <f t="shared" si="3"/>
        <v>0.20633460000000001</v>
      </c>
      <c r="D12" s="65">
        <f t="shared" si="3"/>
        <v>0.2762113736263736</v>
      </c>
      <c r="E12" s="65">
        <f t="shared" si="3"/>
        <v>0.59443652702702698</v>
      </c>
      <c r="F12" s="65">
        <f t="shared" si="3"/>
        <v>0.60763642391304351</v>
      </c>
      <c r="G12" s="65">
        <f t="shared" si="3"/>
        <v>0.32619187005649719</v>
      </c>
      <c r="H12" s="65">
        <f t="shared" si="3"/>
        <v>0.24779382403433475</v>
      </c>
      <c r="I12" s="65">
        <f t="shared" si="3"/>
        <v>0.27383613567839193</v>
      </c>
      <c r="J12" s="65">
        <f t="shared" si="3"/>
        <v>0.30074106024096386</v>
      </c>
      <c r="K12" s="65">
        <f t="shared" si="3"/>
        <v>0.22676573568281938</v>
      </c>
      <c r="L12" s="65">
        <f t="shared" si="3"/>
        <v>0.37827404761904759</v>
      </c>
      <c r="M12" s="78"/>
      <c r="N12" s="67">
        <f>N10/N11</f>
        <v>0.30690013111111109</v>
      </c>
    </row>
    <row r="13" spans="1:14">
      <c r="A13" s="79" t="s">
        <v>87</v>
      </c>
      <c r="B13" s="80">
        <v>637</v>
      </c>
      <c r="C13" s="81">
        <v>697</v>
      </c>
      <c r="D13" s="80">
        <v>554</v>
      </c>
      <c r="E13" s="80">
        <v>609</v>
      </c>
      <c r="F13" s="80">
        <v>624</v>
      </c>
      <c r="G13" s="80">
        <v>472</v>
      </c>
      <c r="H13" s="80">
        <v>550</v>
      </c>
      <c r="I13" s="80">
        <v>372</v>
      </c>
      <c r="J13" s="80">
        <v>426</v>
      </c>
      <c r="K13" s="80" t="s">
        <v>89</v>
      </c>
      <c r="L13" s="80" t="s">
        <v>90</v>
      </c>
      <c r="M13" s="82"/>
      <c r="N13" s="57"/>
    </row>
    <row r="14" spans="1:14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</row>
    <row r="15" spans="1:14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 spans="1:14">
      <c r="A16" s="72" t="s">
        <v>91</v>
      </c>
      <c r="B16" s="73" t="s">
        <v>73</v>
      </c>
      <c r="C16" s="73" t="s">
        <v>74</v>
      </c>
      <c r="D16" s="73" t="s">
        <v>75</v>
      </c>
      <c r="E16" s="73" t="s">
        <v>76</v>
      </c>
      <c r="F16" s="73" t="s">
        <v>77</v>
      </c>
      <c r="G16" s="73" t="s">
        <v>78</v>
      </c>
      <c r="H16" s="73" t="s">
        <v>79</v>
      </c>
      <c r="I16" s="73" t="s">
        <v>80</v>
      </c>
      <c r="J16" s="73" t="s">
        <v>81</v>
      </c>
      <c r="K16" s="73" t="s">
        <v>82</v>
      </c>
      <c r="L16" s="73" t="s">
        <v>83</v>
      </c>
      <c r="M16" s="74" t="s">
        <v>84</v>
      </c>
      <c r="N16" s="4" t="s">
        <v>13</v>
      </c>
    </row>
    <row r="17" spans="1:14">
      <c r="A17" s="75" t="s">
        <v>85</v>
      </c>
      <c r="B17" s="83">
        <v>873035641</v>
      </c>
      <c r="C17" s="83">
        <v>901307717</v>
      </c>
      <c r="D17" s="83">
        <v>1186209621</v>
      </c>
      <c r="E17" s="83">
        <v>1131867981</v>
      </c>
      <c r="F17" s="83">
        <v>965555395</v>
      </c>
      <c r="G17" s="83">
        <v>654727182</v>
      </c>
      <c r="H17" s="83">
        <v>860410864</v>
      </c>
      <c r="I17" s="83">
        <v>714548638</v>
      </c>
      <c r="J17" s="83">
        <v>626018434</v>
      </c>
      <c r="K17" s="83">
        <v>889508777</v>
      </c>
      <c r="L17" s="83">
        <v>1028802868</v>
      </c>
      <c r="M17" s="76">
        <v>1050896541</v>
      </c>
      <c r="N17" s="8">
        <f t="shared" ref="N17:N18" si="4">SUM(B17:M17)</f>
        <v>10882889659</v>
      </c>
    </row>
    <row r="18" spans="1:14">
      <c r="A18" s="75" t="s">
        <v>86</v>
      </c>
      <c r="B18" s="83">
        <v>2270000000</v>
      </c>
      <c r="C18" s="83">
        <v>2386000000</v>
      </c>
      <c r="D18" s="83">
        <v>2938775292</v>
      </c>
      <c r="E18" s="83">
        <v>2751654588</v>
      </c>
      <c r="F18" s="83">
        <v>2103854414</v>
      </c>
      <c r="G18" s="83">
        <v>1744523637</v>
      </c>
      <c r="H18" s="83">
        <v>2092816276</v>
      </c>
      <c r="I18" s="83">
        <v>2068414972</v>
      </c>
      <c r="J18" s="83">
        <v>1988500908</v>
      </c>
      <c r="K18" s="83">
        <v>3060000000</v>
      </c>
      <c r="L18" s="83">
        <v>3521000000</v>
      </c>
      <c r="M18" s="76">
        <v>3572000000</v>
      </c>
      <c r="N18" s="8">
        <f t="shared" si="4"/>
        <v>30497540087</v>
      </c>
    </row>
    <row r="19" spans="1:14">
      <c r="A19" s="84" t="s">
        <v>92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85"/>
    </row>
    <row r="20" spans="1:14">
      <c r="A20" s="84" t="s">
        <v>93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85"/>
    </row>
    <row r="21" spans="1:14">
      <c r="A21" s="84" t="s">
        <v>94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85"/>
    </row>
    <row r="22" spans="1:14">
      <c r="A22" s="84" t="s">
        <v>95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85"/>
    </row>
    <row r="23" spans="1:14">
      <c r="A23" s="75" t="s">
        <v>51</v>
      </c>
      <c r="B23" s="65">
        <f t="shared" ref="B23:L23" si="5">B17/B18</f>
        <v>0.38459719867841408</v>
      </c>
      <c r="C23" s="65">
        <f t="shared" si="5"/>
        <v>0.37774841450125735</v>
      </c>
      <c r="D23" s="65">
        <f t="shared" si="5"/>
        <v>0.40364080378282968</v>
      </c>
      <c r="E23" s="65">
        <f t="shared" si="5"/>
        <v>0.41134086594156488</v>
      </c>
      <c r="F23" s="65">
        <f t="shared" si="5"/>
        <v>0.45894591782338034</v>
      </c>
      <c r="G23" s="65">
        <f t="shared" si="5"/>
        <v>0.37530427683164719</v>
      </c>
      <c r="H23" s="65">
        <f t="shared" si="5"/>
        <v>0.41112584695896165</v>
      </c>
      <c r="I23" s="65">
        <f t="shared" si="5"/>
        <v>0.34545710008523378</v>
      </c>
      <c r="J23" s="65">
        <f t="shared" si="5"/>
        <v>0.31481928496056788</v>
      </c>
      <c r="K23" s="65">
        <f t="shared" si="5"/>
        <v>0.29068914281045749</v>
      </c>
      <c r="L23" s="65">
        <f t="shared" si="5"/>
        <v>0.29219053337120138</v>
      </c>
      <c r="M23" s="78"/>
      <c r="N23" s="86">
        <f>N17/N18</f>
        <v>0.35684483495896718</v>
      </c>
    </row>
    <row r="24" spans="1:14">
      <c r="A24" s="87" t="s">
        <v>96</v>
      </c>
      <c r="B24" s="88">
        <v>17215</v>
      </c>
      <c r="C24" s="89">
        <v>14636</v>
      </c>
      <c r="D24" s="88">
        <v>18308</v>
      </c>
      <c r="E24" s="88">
        <v>18459</v>
      </c>
      <c r="F24" s="88">
        <v>10708</v>
      </c>
      <c r="G24" s="88">
        <v>6723</v>
      </c>
      <c r="H24" s="88">
        <v>8743</v>
      </c>
      <c r="I24" s="88">
        <v>5503</v>
      </c>
      <c r="J24" s="88">
        <v>5534</v>
      </c>
      <c r="K24" s="88">
        <v>4393</v>
      </c>
      <c r="L24" s="88">
        <v>4806</v>
      </c>
      <c r="M24" s="90"/>
    </row>
    <row r="25" spans="1:14">
      <c r="A25" s="87" t="s">
        <v>97</v>
      </c>
      <c r="B25" s="88">
        <v>430</v>
      </c>
      <c r="C25" s="89">
        <v>590</v>
      </c>
      <c r="D25" s="88">
        <v>570</v>
      </c>
      <c r="E25" s="88">
        <v>899</v>
      </c>
      <c r="F25" s="88">
        <v>674</v>
      </c>
      <c r="G25" s="88">
        <v>530</v>
      </c>
      <c r="H25" s="88">
        <v>605</v>
      </c>
      <c r="I25" s="88">
        <v>667</v>
      </c>
      <c r="J25" s="88">
        <v>611</v>
      </c>
      <c r="K25" s="88">
        <v>1011</v>
      </c>
      <c r="L25" s="88">
        <v>1346</v>
      </c>
      <c r="M25" s="90"/>
    </row>
    <row r="26" spans="1:14">
      <c r="A26" s="91" t="s">
        <v>98</v>
      </c>
      <c r="B26" s="80"/>
      <c r="C26" s="81"/>
      <c r="D26" s="80"/>
      <c r="E26" s="80"/>
      <c r="F26" s="80"/>
      <c r="G26" s="80"/>
      <c r="H26" s="80"/>
      <c r="I26" s="80"/>
      <c r="J26" s="80"/>
      <c r="K26" s="80"/>
      <c r="L26" s="80"/>
      <c r="M26" s="82"/>
    </row>
    <row r="27" spans="1:14">
      <c r="A27" s="92"/>
      <c r="B27" s="93"/>
      <c r="C27" s="94"/>
      <c r="D27" s="93"/>
      <c r="E27" s="93"/>
      <c r="F27" s="93"/>
      <c r="G27" s="93"/>
      <c r="H27" s="93"/>
      <c r="I27" s="93"/>
      <c r="J27" s="93"/>
      <c r="K27" s="93"/>
      <c r="L27" s="93"/>
      <c r="M27" s="71"/>
    </row>
    <row r="28" spans="1:14">
      <c r="M28" s="95">
        <f>SUM(N4+N11+N18)</f>
        <v>35100540087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.75" customHeight="1"/>
  <cols>
    <col min="1" max="1" width="22.28515625" customWidth="1"/>
    <col min="2" max="2" width="7.5703125" customWidth="1"/>
    <col min="3" max="3" width="26" customWidth="1"/>
    <col min="4" max="5" width="7.5703125" customWidth="1"/>
    <col min="6" max="6" width="11.140625" customWidth="1"/>
    <col min="7" max="26" width="7.5703125" customWidth="1"/>
  </cols>
  <sheetData>
    <row r="1" spans="1:26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>
      <c r="A2" s="98" t="s">
        <v>104</v>
      </c>
      <c r="B2" s="99" t="s">
        <v>105</v>
      </c>
      <c r="C2" s="100">
        <v>974016330</v>
      </c>
      <c r="D2" s="101" t="s">
        <v>106</v>
      </c>
      <c r="E2" s="101" t="s">
        <v>107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>
      <c r="A3" s="98" t="s">
        <v>53</v>
      </c>
      <c r="B3" s="99" t="s">
        <v>105</v>
      </c>
      <c r="C3" s="102">
        <v>290315763</v>
      </c>
      <c r="D3" s="101" t="s">
        <v>106</v>
      </c>
      <c r="E3" s="101" t="s">
        <v>107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>
      <c r="A4" s="98" t="s">
        <v>108</v>
      </c>
      <c r="B4" s="99" t="s">
        <v>105</v>
      </c>
      <c r="C4" s="100">
        <v>249531811</v>
      </c>
      <c r="D4" s="101" t="s">
        <v>106</v>
      </c>
      <c r="E4" s="101" t="s">
        <v>107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>
      <c r="A5" s="98" t="s">
        <v>109</v>
      </c>
      <c r="B5" s="99" t="s">
        <v>105</v>
      </c>
      <c r="C5" s="100">
        <v>31665240</v>
      </c>
      <c r="D5" s="101" t="s">
        <v>106</v>
      </c>
      <c r="E5" s="101" t="s">
        <v>107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>
      <c r="A6" s="98" t="s">
        <v>54</v>
      </c>
      <c r="B6" s="99" t="s">
        <v>105</v>
      </c>
      <c r="C6" s="102">
        <v>26580213</v>
      </c>
      <c r="D6" s="101" t="s">
        <v>106</v>
      </c>
      <c r="E6" s="101" t="s">
        <v>107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>
      <c r="A7" s="98" t="s">
        <v>110</v>
      </c>
      <c r="B7" s="99" t="s">
        <v>105</v>
      </c>
      <c r="C7" s="100">
        <v>20325469</v>
      </c>
      <c r="D7" s="101" t="s">
        <v>106</v>
      </c>
      <c r="E7" s="101" t="s">
        <v>107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>
      <c r="A8" s="98" t="s">
        <v>111</v>
      </c>
      <c r="B8" s="99" t="s">
        <v>105</v>
      </c>
      <c r="C8" s="100">
        <v>18809453</v>
      </c>
      <c r="D8" s="101" t="s">
        <v>106</v>
      </c>
      <c r="E8" s="101" t="s">
        <v>107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>
      <c r="A9" s="98" t="s">
        <v>55</v>
      </c>
      <c r="B9" s="99" t="s">
        <v>105</v>
      </c>
      <c r="C9" s="102">
        <v>18241312</v>
      </c>
      <c r="D9" s="101" t="s">
        <v>106</v>
      </c>
      <c r="E9" s="101" t="s">
        <v>107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>
      <c r="A10" s="98" t="s">
        <v>112</v>
      </c>
      <c r="B10" s="99" t="s">
        <v>105</v>
      </c>
      <c r="C10" s="100">
        <v>17737225</v>
      </c>
      <c r="D10" s="101" t="s">
        <v>106</v>
      </c>
      <c r="E10" s="101" t="s">
        <v>107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>
      <c r="A11" s="98" t="s">
        <v>113</v>
      </c>
      <c r="B11" s="99" t="s">
        <v>105</v>
      </c>
      <c r="C11" s="100">
        <v>15832372</v>
      </c>
      <c r="D11" s="101" t="s">
        <v>106</v>
      </c>
      <c r="E11" s="101" t="s">
        <v>107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>
      <c r="A12" s="98" t="s">
        <v>56</v>
      </c>
      <c r="B12" s="99" t="s">
        <v>105</v>
      </c>
      <c r="C12" s="102">
        <v>14636652</v>
      </c>
      <c r="D12" s="101" t="s">
        <v>106</v>
      </c>
      <c r="E12" s="101" t="s">
        <v>107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>
      <c r="A13" s="98" t="s">
        <v>114</v>
      </c>
      <c r="B13" s="99" t="s">
        <v>105</v>
      </c>
      <c r="C13" s="100">
        <v>13610242</v>
      </c>
      <c r="D13" s="101" t="s">
        <v>106</v>
      </c>
      <c r="E13" s="101" t="s">
        <v>107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>
      <c r="A14" s="98" t="s">
        <v>115</v>
      </c>
      <c r="B14" s="99" t="s">
        <v>105</v>
      </c>
      <c r="C14" s="100">
        <v>13490771</v>
      </c>
      <c r="D14" s="101" t="s">
        <v>106</v>
      </c>
      <c r="E14" s="101" t="s">
        <v>107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>
      <c r="A15" s="98" t="s">
        <v>116</v>
      </c>
      <c r="B15" s="99" t="s">
        <v>105</v>
      </c>
      <c r="C15" s="100">
        <v>11770180</v>
      </c>
      <c r="D15" s="101" t="s">
        <v>106</v>
      </c>
      <c r="E15" s="101" t="s">
        <v>107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>
      <c r="A16" s="98" t="s">
        <v>117</v>
      </c>
      <c r="B16" s="99" t="s">
        <v>105</v>
      </c>
      <c r="C16" s="100">
        <v>10534530</v>
      </c>
      <c r="D16" s="101" t="s">
        <v>106</v>
      </c>
      <c r="E16" s="101" t="s">
        <v>107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>
      <c r="A17" s="98" t="s">
        <v>118</v>
      </c>
      <c r="B17" s="99" t="s">
        <v>105</v>
      </c>
      <c r="C17" s="100">
        <v>10307572</v>
      </c>
      <c r="D17" s="101" t="s">
        <v>106</v>
      </c>
      <c r="E17" s="101" t="s">
        <v>107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>
      <c r="A18" s="98" t="s">
        <v>119</v>
      </c>
      <c r="B18" s="99" t="s">
        <v>105</v>
      </c>
      <c r="C18" s="100">
        <v>9524433</v>
      </c>
      <c r="D18" s="101" t="s">
        <v>106</v>
      </c>
      <c r="E18" s="101" t="s">
        <v>107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>
      <c r="A19" s="98" t="s">
        <v>120</v>
      </c>
      <c r="B19" s="99" t="s">
        <v>105</v>
      </c>
      <c r="C19" s="100">
        <v>8975368</v>
      </c>
      <c r="D19" s="101" t="s">
        <v>106</v>
      </c>
      <c r="E19" s="101" t="s">
        <v>107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>
      <c r="A20" s="98" t="s">
        <v>121</v>
      </c>
      <c r="B20" s="99" t="s">
        <v>105</v>
      </c>
      <c r="C20" s="100">
        <v>8905266</v>
      </c>
      <c r="D20" s="101" t="s">
        <v>106</v>
      </c>
      <c r="E20" s="101" t="s">
        <v>107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>
      <c r="A21" s="98" t="s">
        <v>122</v>
      </c>
      <c r="B21" s="99" t="s">
        <v>105</v>
      </c>
      <c r="C21" s="100">
        <v>8683360</v>
      </c>
      <c r="D21" s="101" t="s">
        <v>106</v>
      </c>
      <c r="E21" s="101" t="s">
        <v>107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>
      <c r="A22" s="98" t="s">
        <v>123</v>
      </c>
      <c r="B22" s="99" t="s">
        <v>105</v>
      </c>
      <c r="C22" s="100">
        <v>8650437</v>
      </c>
      <c r="D22" s="101" t="s">
        <v>106</v>
      </c>
      <c r="E22" s="101" t="s">
        <v>107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>
      <c r="A23" s="98" t="s">
        <v>124</v>
      </c>
      <c r="B23" s="99" t="s">
        <v>105</v>
      </c>
      <c r="C23" s="100">
        <v>8492432</v>
      </c>
      <c r="D23" s="101" t="s">
        <v>106</v>
      </c>
      <c r="E23" s="101" t="s">
        <v>107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>
      <c r="A24" s="98" t="s">
        <v>125</v>
      </c>
      <c r="B24" s="99" t="s">
        <v>105</v>
      </c>
      <c r="C24" s="100">
        <v>7373880</v>
      </c>
      <c r="D24" s="101" t="s">
        <v>106</v>
      </c>
      <c r="E24" s="101" t="s">
        <v>107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>
      <c r="A25" s="98" t="s">
        <v>126</v>
      </c>
      <c r="B25" s="99" t="s">
        <v>105</v>
      </c>
      <c r="C25" s="100">
        <v>6888264</v>
      </c>
      <c r="D25" s="101" t="s">
        <v>106</v>
      </c>
      <c r="E25" s="101" t="s">
        <v>107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>
      <c r="A26" s="98" t="s">
        <v>57</v>
      </c>
      <c r="B26" s="99" t="s">
        <v>105</v>
      </c>
      <c r="C26" s="102">
        <v>6863974</v>
      </c>
      <c r="D26" s="101" t="s">
        <v>106</v>
      </c>
      <c r="E26" s="101" t="s">
        <v>107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>
      <c r="A27" s="98" t="s">
        <v>127</v>
      </c>
      <c r="B27" s="99" t="s">
        <v>105</v>
      </c>
      <c r="C27" s="100">
        <v>6712146</v>
      </c>
      <c r="D27" s="101" t="s">
        <v>106</v>
      </c>
      <c r="E27" s="101" t="s">
        <v>107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>
      <c r="A28" s="98" t="s">
        <v>128</v>
      </c>
      <c r="B28" s="99" t="s">
        <v>105</v>
      </c>
      <c r="C28" s="100">
        <v>6536260</v>
      </c>
      <c r="D28" s="101" t="s">
        <v>106</v>
      </c>
      <c r="E28" s="101" t="s">
        <v>107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>
      <c r="A29" s="98" t="s">
        <v>129</v>
      </c>
      <c r="B29" s="99" t="s">
        <v>105</v>
      </c>
      <c r="C29" s="100">
        <v>5253597</v>
      </c>
      <c r="D29" s="101" t="s">
        <v>106</v>
      </c>
      <c r="E29" s="101" t="s">
        <v>107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>
      <c r="A30" s="98" t="s">
        <v>58</v>
      </c>
      <c r="B30" s="99" t="s">
        <v>105</v>
      </c>
      <c r="C30" s="102">
        <v>5154390</v>
      </c>
      <c r="D30" s="101" t="s">
        <v>106</v>
      </c>
      <c r="E30" s="101" t="s">
        <v>107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>
      <c r="A31" s="98" t="s">
        <v>130</v>
      </c>
      <c r="B31" s="99" t="s">
        <v>105</v>
      </c>
      <c r="C31" s="100">
        <v>4859528</v>
      </c>
      <c r="D31" s="101" t="s">
        <v>106</v>
      </c>
      <c r="E31" s="101" t="s">
        <v>107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>
      <c r="A32" s="98" t="s">
        <v>131</v>
      </c>
      <c r="B32" s="99" t="s">
        <v>105</v>
      </c>
      <c r="C32" s="100">
        <v>4806924</v>
      </c>
      <c r="D32" s="101" t="s">
        <v>106</v>
      </c>
      <c r="E32" s="101" t="s">
        <v>107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>
      <c r="A33" s="98" t="s">
        <v>59</v>
      </c>
      <c r="B33" s="99" t="s">
        <v>105</v>
      </c>
      <c r="C33" s="102">
        <v>4788262</v>
      </c>
      <c r="D33" s="101" t="s">
        <v>106</v>
      </c>
      <c r="E33" s="101" t="s">
        <v>107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>
      <c r="A34" s="98" t="s">
        <v>60</v>
      </c>
      <c r="B34" s="99" t="s">
        <v>105</v>
      </c>
      <c r="C34" s="102">
        <v>4787844</v>
      </c>
      <c r="D34" s="101" t="s">
        <v>106</v>
      </c>
      <c r="E34" s="101" t="s">
        <v>107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>
      <c r="A35" s="98" t="s">
        <v>132</v>
      </c>
      <c r="B35" s="99" t="s">
        <v>105</v>
      </c>
      <c r="C35" s="100">
        <v>4765663</v>
      </c>
      <c r="D35" s="101" t="s">
        <v>106</v>
      </c>
      <c r="E35" s="101" t="s">
        <v>107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>
      <c r="A36" s="98" t="s">
        <v>133</v>
      </c>
      <c r="B36" s="99" t="s">
        <v>105</v>
      </c>
      <c r="C36" s="100">
        <v>4701093</v>
      </c>
      <c r="D36" s="101" t="s">
        <v>106</v>
      </c>
      <c r="E36" s="101" t="s">
        <v>107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>
      <c r="A37" s="98" t="s">
        <v>134</v>
      </c>
      <c r="B37" s="99" t="s">
        <v>105</v>
      </c>
      <c r="C37" s="100">
        <v>4592227</v>
      </c>
      <c r="D37" s="101" t="s">
        <v>106</v>
      </c>
      <c r="E37" s="101" t="s">
        <v>107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>
      <c r="A38" s="98" t="s">
        <v>135</v>
      </c>
      <c r="B38" s="99" t="s">
        <v>105</v>
      </c>
      <c r="C38" s="100">
        <v>4484855</v>
      </c>
      <c r="D38" s="101" t="s">
        <v>106</v>
      </c>
      <c r="E38" s="101" t="s">
        <v>107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>
      <c r="A39" s="98" t="s">
        <v>136</v>
      </c>
      <c r="B39" s="99" t="s">
        <v>105</v>
      </c>
      <c r="C39" s="100">
        <v>4393703</v>
      </c>
      <c r="D39" s="101" t="s">
        <v>106</v>
      </c>
      <c r="E39" s="101" t="s">
        <v>107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>
      <c r="A40" s="98" t="s">
        <v>61</v>
      </c>
      <c r="B40" s="99" t="s">
        <v>105</v>
      </c>
      <c r="C40" s="102">
        <v>4323465</v>
      </c>
      <c r="D40" s="101" t="s">
        <v>106</v>
      </c>
      <c r="E40" s="101" t="s">
        <v>107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>
      <c r="A41" s="98" t="s">
        <v>137</v>
      </c>
      <c r="B41" s="99" t="s">
        <v>105</v>
      </c>
      <c r="C41" s="100">
        <v>4263774</v>
      </c>
      <c r="D41" s="101" t="s">
        <v>106</v>
      </c>
      <c r="E41" s="101" t="s">
        <v>107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>
      <c r="A42" s="98" t="s">
        <v>138</v>
      </c>
      <c r="B42" s="99" t="s">
        <v>105</v>
      </c>
      <c r="C42" s="100">
        <v>4241384</v>
      </c>
      <c r="D42" s="101" t="s">
        <v>106</v>
      </c>
      <c r="E42" s="101" t="s">
        <v>107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>
      <c r="A43" s="98" t="s">
        <v>139</v>
      </c>
      <c r="B43" s="99" t="s">
        <v>105</v>
      </c>
      <c r="C43" s="100">
        <v>4098744</v>
      </c>
      <c r="D43" s="101" t="s">
        <v>106</v>
      </c>
      <c r="E43" s="101" t="s">
        <v>107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>
      <c r="A44" s="98" t="s">
        <v>140</v>
      </c>
      <c r="B44" s="99" t="s">
        <v>105</v>
      </c>
      <c r="C44" s="100">
        <v>3959949</v>
      </c>
      <c r="D44" s="101" t="s">
        <v>106</v>
      </c>
      <c r="E44" s="101" t="s">
        <v>107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>
      <c r="A45" s="98" t="s">
        <v>62</v>
      </c>
      <c r="B45" s="99" t="s">
        <v>105</v>
      </c>
      <c r="C45" s="102">
        <v>3900536</v>
      </c>
      <c r="D45" s="101" t="s">
        <v>106</v>
      </c>
      <c r="E45" s="101" t="s">
        <v>107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>
      <c r="A46" s="98" t="s">
        <v>141</v>
      </c>
      <c r="B46" s="99" t="s">
        <v>105</v>
      </c>
      <c r="C46" s="100">
        <v>3719398</v>
      </c>
      <c r="D46" s="101" t="s">
        <v>106</v>
      </c>
      <c r="E46" s="101" t="s">
        <v>107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>
      <c r="A47" s="98" t="s">
        <v>142</v>
      </c>
      <c r="B47" s="99" t="s">
        <v>105</v>
      </c>
      <c r="C47" s="100">
        <v>3572429</v>
      </c>
      <c r="D47" s="101" t="s">
        <v>106</v>
      </c>
      <c r="E47" s="101" t="s">
        <v>107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>
      <c r="A48" s="98" t="s">
        <v>63</v>
      </c>
      <c r="B48" s="99" t="s">
        <v>105</v>
      </c>
      <c r="C48" s="102">
        <v>3303115</v>
      </c>
      <c r="D48" s="101" t="s">
        <v>106</v>
      </c>
      <c r="E48" s="101" t="s">
        <v>107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>
      <c r="A49" s="98" t="s">
        <v>143</v>
      </c>
      <c r="B49" s="99" t="s">
        <v>105</v>
      </c>
      <c r="C49" s="100">
        <v>3277495</v>
      </c>
      <c r="D49" s="101" t="s">
        <v>106</v>
      </c>
      <c r="E49" s="101" t="s">
        <v>107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>
      <c r="A50" s="98" t="s">
        <v>144</v>
      </c>
      <c r="B50" s="99" t="s">
        <v>105</v>
      </c>
      <c r="C50" s="100">
        <v>3274349</v>
      </c>
      <c r="D50" s="101" t="s">
        <v>106</v>
      </c>
      <c r="E50" s="101" t="s">
        <v>107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>
      <c r="A51" s="98" t="s">
        <v>145</v>
      </c>
      <c r="B51" s="99" t="s">
        <v>105</v>
      </c>
      <c r="C51" s="100">
        <v>3250554</v>
      </c>
      <c r="D51" s="101" t="s">
        <v>106</v>
      </c>
      <c r="E51" s="101" t="s">
        <v>107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>
      <c r="A52" s="98" t="s">
        <v>146</v>
      </c>
      <c r="B52" s="99" t="s">
        <v>105</v>
      </c>
      <c r="C52" s="100">
        <v>3059273</v>
      </c>
      <c r="D52" s="101" t="s">
        <v>106</v>
      </c>
      <c r="E52" s="101" t="s">
        <v>107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>
      <c r="A53" s="98" t="s">
        <v>64</v>
      </c>
      <c r="B53" s="99" t="s">
        <v>105</v>
      </c>
      <c r="C53" s="102">
        <v>2687523</v>
      </c>
      <c r="D53" s="101" t="s">
        <v>106</v>
      </c>
      <c r="E53" s="101" t="s">
        <v>107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>
      <c r="A54" s="98" t="s">
        <v>147</v>
      </c>
      <c r="B54" s="99" t="s">
        <v>105</v>
      </c>
      <c r="C54" s="100">
        <v>2639739</v>
      </c>
      <c r="D54" s="101" t="s">
        <v>106</v>
      </c>
      <c r="E54" s="101" t="s">
        <v>107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>
      <c r="A55" s="98" t="s">
        <v>65</v>
      </c>
      <c r="B55" s="99" t="s">
        <v>105</v>
      </c>
      <c r="C55" s="102">
        <v>2092371</v>
      </c>
      <c r="D55" s="101" t="s">
        <v>106</v>
      </c>
      <c r="E55" s="101" t="s">
        <v>107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>
      <c r="A56" s="98" t="s">
        <v>66</v>
      </c>
      <c r="B56" s="99" t="s">
        <v>105</v>
      </c>
      <c r="C56" s="102">
        <v>1995052</v>
      </c>
      <c r="D56" s="101" t="s">
        <v>106</v>
      </c>
      <c r="E56" s="101" t="s">
        <v>107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>
      <c r="A57" s="98" t="s">
        <v>148</v>
      </c>
      <c r="B57" s="99" t="s">
        <v>105</v>
      </c>
      <c r="C57" s="100">
        <v>1901642</v>
      </c>
      <c r="D57" s="101" t="s">
        <v>106</v>
      </c>
      <c r="E57" s="101" t="s">
        <v>107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>
      <c r="A58" s="98" t="s">
        <v>67</v>
      </c>
      <c r="B58" s="99" t="s">
        <v>105</v>
      </c>
      <c r="C58" s="102">
        <v>1873318</v>
      </c>
      <c r="D58" s="101" t="s">
        <v>106</v>
      </c>
      <c r="E58" s="101" t="s">
        <v>107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>
      <c r="A59" s="98" t="s">
        <v>68</v>
      </c>
      <c r="B59" s="99" t="s">
        <v>105</v>
      </c>
      <c r="C59" s="102">
        <v>1673462</v>
      </c>
      <c r="D59" s="101" t="s">
        <v>106</v>
      </c>
      <c r="E59" s="101" t="s">
        <v>107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>
      <c r="A60" s="98" t="s">
        <v>149</v>
      </c>
      <c r="B60" s="99" t="s">
        <v>105</v>
      </c>
      <c r="C60" s="100">
        <v>1597442</v>
      </c>
      <c r="D60" s="101" t="s">
        <v>106</v>
      </c>
      <c r="E60" s="101" t="s">
        <v>107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>
      <c r="A61" s="98" t="s">
        <v>69</v>
      </c>
      <c r="B61" s="99" t="s">
        <v>105</v>
      </c>
      <c r="C61" s="102">
        <v>1518346</v>
      </c>
      <c r="D61" s="101" t="s">
        <v>106</v>
      </c>
      <c r="E61" s="101" t="s">
        <v>107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>
      <c r="A62" s="98" t="s">
        <v>70</v>
      </c>
      <c r="B62" s="99" t="s">
        <v>105</v>
      </c>
      <c r="C62" s="102">
        <v>1450984</v>
      </c>
      <c r="D62" s="101" t="s">
        <v>106</v>
      </c>
      <c r="E62" s="101" t="s">
        <v>107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>
      <c r="A63" s="98" t="s">
        <v>150</v>
      </c>
      <c r="B63" s="99" t="s">
        <v>105</v>
      </c>
      <c r="C63" s="100">
        <v>1373390</v>
      </c>
      <c r="D63" s="101" t="s">
        <v>106</v>
      </c>
      <c r="E63" s="101" t="s">
        <v>107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>
      <c r="A64" s="98" t="s">
        <v>151</v>
      </c>
      <c r="B64" s="99" t="s">
        <v>105</v>
      </c>
      <c r="C64" s="100">
        <v>675860</v>
      </c>
      <c r="D64" s="101" t="s">
        <v>106</v>
      </c>
      <c r="E64" s="101" t="s">
        <v>107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>
      <c r="A65" s="98" t="s">
        <v>71</v>
      </c>
      <c r="B65" s="99" t="s">
        <v>105</v>
      </c>
      <c r="C65" s="102">
        <v>575211</v>
      </c>
      <c r="D65" s="101" t="s">
        <v>106</v>
      </c>
      <c r="E65" s="101" t="s">
        <v>107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>
      <c r="A66" s="98" t="s">
        <v>152</v>
      </c>
      <c r="B66" s="99" t="s">
        <v>105</v>
      </c>
      <c r="C66" s="100">
        <v>134707</v>
      </c>
      <c r="D66" s="101" t="s">
        <v>106</v>
      </c>
      <c r="E66" s="101" t="s">
        <v>107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>
      <c r="A67" s="98" t="s">
        <v>153</v>
      </c>
      <c r="B67" s="99" t="s">
        <v>105</v>
      </c>
      <c r="C67" s="100">
        <v>107</v>
      </c>
      <c r="D67" s="101" t="s">
        <v>106</v>
      </c>
      <c r="E67" s="101" t="s">
        <v>107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Z1000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994813705</v>
      </c>
      <c r="D2" s="101" t="s">
        <v>154</v>
      </c>
      <c r="E2" s="101" t="s">
        <v>155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267240349</v>
      </c>
      <c r="D3" s="101" t="s">
        <v>154</v>
      </c>
      <c r="E3" s="101" t="s">
        <v>155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238270816</v>
      </c>
      <c r="D4" s="101" t="s">
        <v>154</v>
      </c>
      <c r="E4" s="101" t="s">
        <v>155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37529652</v>
      </c>
      <c r="D5" s="101" t="s">
        <v>154</v>
      </c>
      <c r="E5" s="101" t="s">
        <v>155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 hidden="1">
      <c r="A6" s="98" t="s">
        <v>110</v>
      </c>
      <c r="B6" s="99" t="s">
        <v>105</v>
      </c>
      <c r="C6" s="100">
        <v>26377658</v>
      </c>
      <c r="D6" s="101" t="s">
        <v>154</v>
      </c>
      <c r="E6" s="101" t="s">
        <v>155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>
      <c r="A7" s="98" t="s">
        <v>54</v>
      </c>
      <c r="B7" s="99" t="s">
        <v>105</v>
      </c>
      <c r="C7" s="100">
        <v>24408804</v>
      </c>
      <c r="D7" s="101" t="s">
        <v>154</v>
      </c>
      <c r="E7" s="101" t="s">
        <v>155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 hidden="1">
      <c r="A8" s="98" t="s">
        <v>113</v>
      </c>
      <c r="B8" s="99" t="s">
        <v>105</v>
      </c>
      <c r="C8" s="100">
        <v>20071757</v>
      </c>
      <c r="D8" s="101" t="s">
        <v>154</v>
      </c>
      <c r="E8" s="101" t="s">
        <v>155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111</v>
      </c>
      <c r="B9" s="99" t="s">
        <v>105</v>
      </c>
      <c r="C9" s="100">
        <v>19570570</v>
      </c>
      <c r="D9" s="101" t="s">
        <v>154</v>
      </c>
      <c r="E9" s="101" t="s">
        <v>155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115</v>
      </c>
      <c r="B10" s="99" t="s">
        <v>105</v>
      </c>
      <c r="C10" s="100">
        <v>18246068</v>
      </c>
      <c r="D10" s="101" t="s">
        <v>154</v>
      </c>
      <c r="E10" s="101" t="s">
        <v>155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 hidden="1">
      <c r="A11" s="98" t="s">
        <v>114</v>
      </c>
      <c r="B11" s="99" t="s">
        <v>105</v>
      </c>
      <c r="C11" s="100">
        <v>17455675</v>
      </c>
      <c r="D11" s="101" t="s">
        <v>154</v>
      </c>
      <c r="E11" s="101" t="s">
        <v>155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 hidden="1">
      <c r="A12" s="98" t="s">
        <v>112</v>
      </c>
      <c r="B12" s="99" t="s">
        <v>105</v>
      </c>
      <c r="C12" s="100">
        <v>17038019</v>
      </c>
      <c r="D12" s="101" t="s">
        <v>154</v>
      </c>
      <c r="E12" s="101" t="s">
        <v>155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>
      <c r="A13" s="98" t="s">
        <v>55</v>
      </c>
      <c r="B13" s="99" t="s">
        <v>105</v>
      </c>
      <c r="C13" s="100">
        <v>15999250</v>
      </c>
      <c r="D13" s="101" t="s">
        <v>154</v>
      </c>
      <c r="E13" s="101" t="s">
        <v>155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>
      <c r="A14" s="98" t="s">
        <v>56</v>
      </c>
      <c r="B14" s="99" t="s">
        <v>105</v>
      </c>
      <c r="C14" s="100">
        <v>15130586</v>
      </c>
      <c r="D14" s="101" t="s">
        <v>154</v>
      </c>
      <c r="E14" s="101" t="s">
        <v>155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 hidden="1">
      <c r="A15" s="98" t="s">
        <v>117</v>
      </c>
      <c r="B15" s="99" t="s">
        <v>105</v>
      </c>
      <c r="C15" s="100">
        <v>13432367</v>
      </c>
      <c r="D15" s="101" t="s">
        <v>154</v>
      </c>
      <c r="E15" s="101" t="s">
        <v>155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119</v>
      </c>
      <c r="B16" s="99" t="s">
        <v>105</v>
      </c>
      <c r="C16" s="100">
        <v>11984204</v>
      </c>
      <c r="D16" s="101" t="s">
        <v>154</v>
      </c>
      <c r="E16" s="101" t="s">
        <v>155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121</v>
      </c>
      <c r="B17" s="99" t="s">
        <v>105</v>
      </c>
      <c r="C17" s="100">
        <v>11282467</v>
      </c>
      <c r="D17" s="101" t="s">
        <v>154</v>
      </c>
      <c r="E17" s="101" t="s">
        <v>155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 hidden="1">
      <c r="A18" s="98" t="s">
        <v>122</v>
      </c>
      <c r="B18" s="99" t="s">
        <v>105</v>
      </c>
      <c r="C18" s="100">
        <v>10932817</v>
      </c>
      <c r="D18" s="101" t="s">
        <v>154</v>
      </c>
      <c r="E18" s="101" t="s">
        <v>155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118</v>
      </c>
      <c r="B19" s="99" t="s">
        <v>105</v>
      </c>
      <c r="C19" s="100">
        <v>10834210</v>
      </c>
      <c r="D19" s="101" t="s">
        <v>154</v>
      </c>
      <c r="E19" s="101" t="s">
        <v>155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120</v>
      </c>
      <c r="B20" s="99" t="s">
        <v>105</v>
      </c>
      <c r="C20" s="100">
        <v>10745661</v>
      </c>
      <c r="D20" s="101" t="s">
        <v>154</v>
      </c>
      <c r="E20" s="101" t="s">
        <v>155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116</v>
      </c>
      <c r="B21" s="99" t="s">
        <v>105</v>
      </c>
      <c r="C21" s="100">
        <v>10546582</v>
      </c>
      <c r="D21" s="101" t="s">
        <v>154</v>
      </c>
      <c r="E21" s="101" t="s">
        <v>155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124</v>
      </c>
      <c r="B22" s="99" t="s">
        <v>105</v>
      </c>
      <c r="C22" s="100">
        <v>9604894</v>
      </c>
      <c r="D22" s="101" t="s">
        <v>154</v>
      </c>
      <c r="E22" s="101" t="s">
        <v>155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125</v>
      </c>
      <c r="B23" s="99" t="s">
        <v>105</v>
      </c>
      <c r="C23" s="100">
        <v>9019073</v>
      </c>
      <c r="D23" s="101" t="s">
        <v>154</v>
      </c>
      <c r="E23" s="101" t="s">
        <v>155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128</v>
      </c>
      <c r="B24" s="99" t="s">
        <v>105</v>
      </c>
      <c r="C24" s="100">
        <v>9008696</v>
      </c>
      <c r="D24" s="101" t="s">
        <v>154</v>
      </c>
      <c r="E24" s="101" t="s">
        <v>155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127</v>
      </c>
      <c r="B25" s="99" t="s">
        <v>105</v>
      </c>
      <c r="C25" s="100">
        <v>8883293</v>
      </c>
      <c r="D25" s="101" t="s">
        <v>154</v>
      </c>
      <c r="E25" s="101" t="s">
        <v>155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126</v>
      </c>
      <c r="B26" s="99" t="s">
        <v>105</v>
      </c>
      <c r="C26" s="100">
        <v>8777996</v>
      </c>
      <c r="D26" s="101" t="s">
        <v>154</v>
      </c>
      <c r="E26" s="101" t="s">
        <v>155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123</v>
      </c>
      <c r="B27" s="99" t="s">
        <v>105</v>
      </c>
      <c r="C27" s="100">
        <v>6337497</v>
      </c>
      <c r="D27" s="101" t="s">
        <v>154</v>
      </c>
      <c r="E27" s="101" t="s">
        <v>155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132</v>
      </c>
      <c r="B28" s="99" t="s">
        <v>105</v>
      </c>
      <c r="C28" s="100">
        <v>6072749</v>
      </c>
      <c r="D28" s="101" t="s">
        <v>154</v>
      </c>
      <c r="E28" s="101" t="s">
        <v>155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>
      <c r="A29" s="98" t="s">
        <v>59</v>
      </c>
      <c r="B29" s="99" t="s">
        <v>105</v>
      </c>
      <c r="C29" s="100">
        <v>6053593</v>
      </c>
      <c r="D29" s="101" t="s">
        <v>154</v>
      </c>
      <c r="E29" s="101" t="s">
        <v>155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 hidden="1">
      <c r="A30" s="98" t="s">
        <v>130</v>
      </c>
      <c r="B30" s="99" t="s">
        <v>105</v>
      </c>
      <c r="C30" s="100">
        <v>6016141</v>
      </c>
      <c r="D30" s="101" t="s">
        <v>154</v>
      </c>
      <c r="E30" s="101" t="s">
        <v>155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 hidden="1">
      <c r="A31" s="98" t="s">
        <v>137</v>
      </c>
      <c r="B31" s="99" t="s">
        <v>105</v>
      </c>
      <c r="C31" s="100">
        <v>5950705</v>
      </c>
      <c r="D31" s="101" t="s">
        <v>154</v>
      </c>
      <c r="E31" s="101" t="s">
        <v>155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 hidden="1">
      <c r="A32" s="98" t="s">
        <v>131</v>
      </c>
      <c r="B32" s="99" t="s">
        <v>105</v>
      </c>
      <c r="C32" s="100">
        <v>5678007</v>
      </c>
      <c r="D32" s="101" t="s">
        <v>154</v>
      </c>
      <c r="E32" s="101" t="s">
        <v>155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 hidden="1">
      <c r="A33" s="98" t="s">
        <v>129</v>
      </c>
      <c r="B33" s="99" t="s">
        <v>105</v>
      </c>
      <c r="C33" s="100">
        <v>5557965</v>
      </c>
      <c r="D33" s="101" t="s">
        <v>154</v>
      </c>
      <c r="E33" s="101" t="s">
        <v>155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135</v>
      </c>
      <c r="B34" s="99" t="s">
        <v>105</v>
      </c>
      <c r="C34" s="100">
        <v>5469335</v>
      </c>
      <c r="D34" s="101" t="s">
        <v>154</v>
      </c>
      <c r="E34" s="101" t="s">
        <v>155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>
      <c r="A35" s="98" t="s">
        <v>57</v>
      </c>
      <c r="B35" s="99" t="s">
        <v>105</v>
      </c>
      <c r="C35" s="100">
        <v>5409466</v>
      </c>
      <c r="D35" s="101" t="s">
        <v>154</v>
      </c>
      <c r="E35" s="101" t="s">
        <v>155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 hidden="1">
      <c r="A36" s="98" t="s">
        <v>141</v>
      </c>
      <c r="B36" s="99" t="s">
        <v>105</v>
      </c>
      <c r="C36" s="100">
        <v>5188947</v>
      </c>
      <c r="D36" s="101" t="s">
        <v>154</v>
      </c>
      <c r="E36" s="101" t="s">
        <v>155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 hidden="1">
      <c r="A37" s="98" t="s">
        <v>133</v>
      </c>
      <c r="B37" s="99" t="s">
        <v>105</v>
      </c>
      <c r="C37" s="100">
        <v>5159500</v>
      </c>
      <c r="D37" s="101" t="s">
        <v>154</v>
      </c>
      <c r="E37" s="101" t="s">
        <v>155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>
      <c r="A38" s="98" t="s">
        <v>61</v>
      </c>
      <c r="B38" s="99" t="s">
        <v>105</v>
      </c>
      <c r="C38" s="100">
        <v>5062788</v>
      </c>
      <c r="D38" s="101" t="s">
        <v>154</v>
      </c>
      <c r="E38" s="101" t="s">
        <v>155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 hidden="1">
      <c r="A39" s="98" t="s">
        <v>136</v>
      </c>
      <c r="B39" s="99" t="s">
        <v>105</v>
      </c>
      <c r="C39" s="100">
        <v>5061063</v>
      </c>
      <c r="D39" s="101" t="s">
        <v>154</v>
      </c>
      <c r="E39" s="101" t="s">
        <v>155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>
      <c r="A40" s="98" t="s">
        <v>58</v>
      </c>
      <c r="B40" s="99" t="s">
        <v>105</v>
      </c>
      <c r="C40" s="100">
        <v>5034615</v>
      </c>
      <c r="D40" s="101" t="s">
        <v>154</v>
      </c>
      <c r="E40" s="101" t="s">
        <v>155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>
      <c r="A41" s="98" t="s">
        <v>60</v>
      </c>
      <c r="B41" s="99" t="s">
        <v>105</v>
      </c>
      <c r="C41" s="100">
        <v>4694509</v>
      </c>
      <c r="D41" s="101" t="s">
        <v>154</v>
      </c>
      <c r="E41" s="101" t="s">
        <v>155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 hidden="1">
      <c r="A42" s="98" t="s">
        <v>139</v>
      </c>
      <c r="B42" s="99" t="s">
        <v>105</v>
      </c>
      <c r="C42" s="100">
        <v>4621538</v>
      </c>
      <c r="D42" s="101" t="s">
        <v>154</v>
      </c>
      <c r="E42" s="101" t="s">
        <v>155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 hidden="1">
      <c r="A43" s="98" t="s">
        <v>146</v>
      </c>
      <c r="B43" s="99" t="s">
        <v>105</v>
      </c>
      <c r="C43" s="100">
        <v>4594414</v>
      </c>
      <c r="D43" s="101" t="s">
        <v>154</v>
      </c>
      <c r="E43" s="101" t="s">
        <v>155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 hidden="1">
      <c r="A44" s="98" t="s">
        <v>140</v>
      </c>
      <c r="B44" s="99" t="s">
        <v>105</v>
      </c>
      <c r="C44" s="100">
        <v>4510170</v>
      </c>
      <c r="D44" s="101" t="s">
        <v>154</v>
      </c>
      <c r="E44" s="101" t="s">
        <v>155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 hidden="1">
      <c r="A45" s="98" t="s">
        <v>134</v>
      </c>
      <c r="B45" s="99" t="s">
        <v>105</v>
      </c>
      <c r="C45" s="100">
        <v>4401173</v>
      </c>
      <c r="D45" s="101" t="s">
        <v>154</v>
      </c>
      <c r="E45" s="101" t="s">
        <v>155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 hidden="1">
      <c r="A46" s="98" t="s">
        <v>145</v>
      </c>
      <c r="B46" s="99" t="s">
        <v>105</v>
      </c>
      <c r="C46" s="100">
        <v>4271881</v>
      </c>
      <c r="D46" s="101" t="s">
        <v>154</v>
      </c>
      <c r="E46" s="101" t="s">
        <v>155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>
      <c r="A47" s="98" t="s">
        <v>62</v>
      </c>
      <c r="B47" s="99" t="s">
        <v>105</v>
      </c>
      <c r="C47" s="100">
        <v>3984753</v>
      </c>
      <c r="D47" s="101" t="s">
        <v>154</v>
      </c>
      <c r="E47" s="101" t="s">
        <v>155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 hidden="1">
      <c r="A48" s="98" t="s">
        <v>144</v>
      </c>
      <c r="B48" s="99" t="s">
        <v>105</v>
      </c>
      <c r="C48" s="100">
        <v>3900399</v>
      </c>
      <c r="D48" s="101" t="s">
        <v>154</v>
      </c>
      <c r="E48" s="101" t="s">
        <v>155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 hidden="1">
      <c r="A49" s="98" t="s">
        <v>142</v>
      </c>
      <c r="B49" s="99" t="s">
        <v>105</v>
      </c>
      <c r="C49" s="100">
        <v>3714979</v>
      </c>
      <c r="D49" s="101" t="s">
        <v>154</v>
      </c>
      <c r="E49" s="101" t="s">
        <v>155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>
      <c r="A50" s="98" t="s">
        <v>63</v>
      </c>
      <c r="B50" s="99" t="s">
        <v>105</v>
      </c>
      <c r="C50" s="100">
        <v>3580798</v>
      </c>
      <c r="D50" s="101" t="s">
        <v>154</v>
      </c>
      <c r="E50" s="101" t="s">
        <v>155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 hidden="1">
      <c r="A51" s="98" t="s">
        <v>138</v>
      </c>
      <c r="B51" s="99" t="s">
        <v>105</v>
      </c>
      <c r="C51" s="100">
        <v>3462710</v>
      </c>
      <c r="D51" s="101" t="s">
        <v>154</v>
      </c>
      <c r="E51" s="101" t="s">
        <v>155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 hidden="1">
      <c r="A52" s="98" t="s">
        <v>143</v>
      </c>
      <c r="B52" s="99" t="s">
        <v>105</v>
      </c>
      <c r="C52" s="100">
        <v>3201051</v>
      </c>
      <c r="D52" s="101" t="s">
        <v>154</v>
      </c>
      <c r="E52" s="101" t="s">
        <v>155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 hidden="1">
      <c r="A53" s="98" t="s">
        <v>148</v>
      </c>
      <c r="B53" s="99" t="s">
        <v>105</v>
      </c>
      <c r="C53" s="100">
        <v>3179017</v>
      </c>
      <c r="D53" s="101" t="s">
        <v>154</v>
      </c>
      <c r="E53" s="101" t="s">
        <v>155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>
      <c r="A54" s="98" t="s">
        <v>66</v>
      </c>
      <c r="B54" s="99" t="s">
        <v>105</v>
      </c>
      <c r="C54" s="100">
        <v>2868250</v>
      </c>
      <c r="D54" s="101" t="s">
        <v>154</v>
      </c>
      <c r="E54" s="101" t="s">
        <v>155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>
      <c r="A55" s="98" t="s">
        <v>64</v>
      </c>
      <c r="B55" s="99" t="s">
        <v>105</v>
      </c>
      <c r="C55" s="100">
        <v>2848924</v>
      </c>
      <c r="D55" s="101" t="s">
        <v>154</v>
      </c>
      <c r="E55" s="101" t="s">
        <v>155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 hidden="1">
      <c r="A56" s="98" t="s">
        <v>147</v>
      </c>
      <c r="B56" s="99" t="s">
        <v>105</v>
      </c>
      <c r="C56" s="100">
        <v>2705417</v>
      </c>
      <c r="D56" s="101" t="s">
        <v>154</v>
      </c>
      <c r="E56" s="101" t="s">
        <v>155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>
      <c r="A57" s="98" t="s">
        <v>65</v>
      </c>
      <c r="B57" s="99" t="s">
        <v>105</v>
      </c>
      <c r="C57" s="100">
        <v>2554487</v>
      </c>
      <c r="D57" s="101" t="s">
        <v>154</v>
      </c>
      <c r="E57" s="101" t="s">
        <v>155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 hidden="1">
      <c r="A58" s="98" t="s">
        <v>149</v>
      </c>
      <c r="B58" s="99" t="s">
        <v>105</v>
      </c>
      <c r="C58" s="100">
        <v>2153767</v>
      </c>
      <c r="D58" s="101" t="s">
        <v>154</v>
      </c>
      <c r="E58" s="101" t="s">
        <v>155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>
      <c r="A59" s="98" t="s">
        <v>70</v>
      </c>
      <c r="B59" s="99" t="s">
        <v>105</v>
      </c>
      <c r="C59" s="100">
        <v>1800503</v>
      </c>
      <c r="D59" s="101" t="s">
        <v>154</v>
      </c>
      <c r="E59" s="101" t="s">
        <v>155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>
      <c r="A60" s="98" t="s">
        <v>69</v>
      </c>
      <c r="B60" s="99" t="s">
        <v>105</v>
      </c>
      <c r="C60" s="100">
        <v>1778714</v>
      </c>
      <c r="D60" s="101" t="s">
        <v>154</v>
      </c>
      <c r="E60" s="101" t="s">
        <v>155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>
      <c r="A61" s="98" t="s">
        <v>67</v>
      </c>
      <c r="B61" s="99" t="s">
        <v>105</v>
      </c>
      <c r="C61" s="100">
        <v>1665609</v>
      </c>
      <c r="D61" s="101" t="s">
        <v>154</v>
      </c>
      <c r="E61" s="101" t="s">
        <v>155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>
      <c r="A62" s="98" t="s">
        <v>68</v>
      </c>
      <c r="B62" s="99" t="s">
        <v>105</v>
      </c>
      <c r="C62" s="100">
        <v>1321862</v>
      </c>
      <c r="D62" s="101" t="s">
        <v>154</v>
      </c>
      <c r="E62" s="101" t="s">
        <v>155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 hidden="1">
      <c r="A63" s="98" t="s">
        <v>150</v>
      </c>
      <c r="B63" s="99" t="s">
        <v>105</v>
      </c>
      <c r="C63" s="100">
        <v>1155072</v>
      </c>
      <c r="D63" s="101" t="s">
        <v>154</v>
      </c>
      <c r="E63" s="101" t="s">
        <v>155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>
      <c r="A64" s="98" t="s">
        <v>71</v>
      </c>
      <c r="B64" s="99" t="s">
        <v>105</v>
      </c>
      <c r="C64" s="100">
        <v>548645</v>
      </c>
      <c r="D64" s="101" t="s">
        <v>154</v>
      </c>
      <c r="E64" s="101" t="s">
        <v>155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 hidden="1">
      <c r="A65" s="98" t="s">
        <v>151</v>
      </c>
      <c r="B65" s="99" t="s">
        <v>105</v>
      </c>
      <c r="C65" s="100">
        <v>504103</v>
      </c>
      <c r="D65" s="101" t="s">
        <v>154</v>
      </c>
      <c r="E65" s="101" t="s">
        <v>155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346983</v>
      </c>
      <c r="D66" s="101" t="s">
        <v>154</v>
      </c>
      <c r="E66" s="101" t="s">
        <v>155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8" t="s">
        <v>153</v>
      </c>
      <c r="B67" s="99" t="s">
        <v>105</v>
      </c>
      <c r="C67" s="100">
        <v>142</v>
      </c>
      <c r="D67" s="101" t="s">
        <v>154</v>
      </c>
      <c r="E67" s="101" t="s">
        <v>155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E67" xr:uid="{00000000-0009-0000-0000-000006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Z1000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1377542811</v>
      </c>
      <c r="D2" s="101" t="s">
        <v>156</v>
      </c>
      <c r="E2" s="101" t="s">
        <v>157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395319366</v>
      </c>
      <c r="D3" s="101" t="s">
        <v>156</v>
      </c>
      <c r="E3" s="101" t="s">
        <v>157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254013578</v>
      </c>
      <c r="D4" s="101" t="s">
        <v>156</v>
      </c>
      <c r="E4" s="101" t="s">
        <v>157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55925245</v>
      </c>
      <c r="D5" s="101" t="s">
        <v>156</v>
      </c>
      <c r="E5" s="101" t="s">
        <v>157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>
      <c r="A6" s="98" t="s">
        <v>54</v>
      </c>
      <c r="B6" s="99" t="s">
        <v>105</v>
      </c>
      <c r="C6" s="100">
        <v>35565102</v>
      </c>
      <c r="D6" s="101" t="s">
        <v>156</v>
      </c>
      <c r="E6" s="101" t="s">
        <v>157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 hidden="1">
      <c r="A7" s="98" t="s">
        <v>110</v>
      </c>
      <c r="B7" s="99" t="s">
        <v>105</v>
      </c>
      <c r="C7" s="100">
        <v>34392267</v>
      </c>
      <c r="D7" s="101" t="s">
        <v>156</v>
      </c>
      <c r="E7" s="101" t="s">
        <v>157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 hidden="1">
      <c r="A8" s="98" t="s">
        <v>111</v>
      </c>
      <c r="B8" s="99" t="s">
        <v>105</v>
      </c>
      <c r="C8" s="100">
        <v>28663551</v>
      </c>
      <c r="D8" s="101" t="s">
        <v>156</v>
      </c>
      <c r="E8" s="101" t="s">
        <v>157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114</v>
      </c>
      <c r="B9" s="99" t="s">
        <v>105</v>
      </c>
      <c r="C9" s="100">
        <v>26071103</v>
      </c>
      <c r="D9" s="101" t="s">
        <v>156</v>
      </c>
      <c r="E9" s="101" t="s">
        <v>157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113</v>
      </c>
      <c r="B10" s="99" t="s">
        <v>105</v>
      </c>
      <c r="C10" s="100">
        <v>25801687</v>
      </c>
      <c r="D10" s="101" t="s">
        <v>156</v>
      </c>
      <c r="E10" s="101" t="s">
        <v>157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>
      <c r="A11" s="98" t="s">
        <v>55</v>
      </c>
      <c r="B11" s="99" t="s">
        <v>105</v>
      </c>
      <c r="C11" s="100">
        <v>23948555</v>
      </c>
      <c r="D11" s="101" t="s">
        <v>156</v>
      </c>
      <c r="E11" s="101" t="s">
        <v>157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>
      <c r="A12" s="98" t="s">
        <v>56</v>
      </c>
      <c r="B12" s="99" t="s">
        <v>105</v>
      </c>
      <c r="C12" s="100">
        <v>23002005</v>
      </c>
      <c r="D12" s="101" t="s">
        <v>156</v>
      </c>
      <c r="E12" s="101" t="s">
        <v>157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 hidden="1">
      <c r="A13" s="98" t="s">
        <v>112</v>
      </c>
      <c r="B13" s="99" t="s">
        <v>105</v>
      </c>
      <c r="C13" s="100">
        <v>22649900</v>
      </c>
      <c r="D13" s="101" t="s">
        <v>156</v>
      </c>
      <c r="E13" s="101" t="s">
        <v>157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 hidden="1">
      <c r="A14" s="98" t="s">
        <v>115</v>
      </c>
      <c r="B14" s="99" t="s">
        <v>105</v>
      </c>
      <c r="C14" s="100">
        <v>21382308</v>
      </c>
      <c r="D14" s="101" t="s">
        <v>156</v>
      </c>
      <c r="E14" s="101" t="s">
        <v>157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 hidden="1">
      <c r="A15" s="98" t="s">
        <v>122</v>
      </c>
      <c r="B15" s="99" t="s">
        <v>105</v>
      </c>
      <c r="C15" s="100">
        <v>20043675</v>
      </c>
      <c r="D15" s="101" t="s">
        <v>156</v>
      </c>
      <c r="E15" s="101" t="s">
        <v>157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120</v>
      </c>
      <c r="B16" s="99" t="s">
        <v>105</v>
      </c>
      <c r="C16" s="100">
        <v>17823932</v>
      </c>
      <c r="D16" s="101" t="s">
        <v>156</v>
      </c>
      <c r="E16" s="101" t="s">
        <v>157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119</v>
      </c>
      <c r="B17" s="99" t="s">
        <v>105</v>
      </c>
      <c r="C17" s="100">
        <v>17433064</v>
      </c>
      <c r="D17" s="101" t="s">
        <v>156</v>
      </c>
      <c r="E17" s="101" t="s">
        <v>157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 hidden="1">
      <c r="A18" s="98" t="s">
        <v>127</v>
      </c>
      <c r="B18" s="99" t="s">
        <v>105</v>
      </c>
      <c r="C18" s="100">
        <v>16348679</v>
      </c>
      <c r="D18" s="101" t="s">
        <v>156</v>
      </c>
      <c r="E18" s="101" t="s">
        <v>157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124</v>
      </c>
      <c r="B19" s="99" t="s">
        <v>105</v>
      </c>
      <c r="C19" s="100">
        <v>15596361</v>
      </c>
      <c r="D19" s="101" t="s">
        <v>156</v>
      </c>
      <c r="E19" s="101" t="s">
        <v>157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121</v>
      </c>
      <c r="B20" s="99" t="s">
        <v>105</v>
      </c>
      <c r="C20" s="100">
        <v>15482639</v>
      </c>
      <c r="D20" s="101" t="s">
        <v>156</v>
      </c>
      <c r="E20" s="101" t="s">
        <v>157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128</v>
      </c>
      <c r="B21" s="99" t="s">
        <v>105</v>
      </c>
      <c r="C21" s="100">
        <v>15465957</v>
      </c>
      <c r="D21" s="101" t="s">
        <v>156</v>
      </c>
      <c r="E21" s="101" t="s">
        <v>157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117</v>
      </c>
      <c r="B22" s="99" t="s">
        <v>105</v>
      </c>
      <c r="C22" s="100">
        <v>15218836</v>
      </c>
      <c r="D22" s="101" t="s">
        <v>156</v>
      </c>
      <c r="E22" s="101" t="s">
        <v>157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118</v>
      </c>
      <c r="B23" s="99" t="s">
        <v>105</v>
      </c>
      <c r="C23" s="100">
        <v>14685385</v>
      </c>
      <c r="D23" s="101" t="s">
        <v>156</v>
      </c>
      <c r="E23" s="101" t="s">
        <v>157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116</v>
      </c>
      <c r="B24" s="99" t="s">
        <v>105</v>
      </c>
      <c r="C24" s="100">
        <v>13862321</v>
      </c>
      <c r="D24" s="101" t="s">
        <v>156</v>
      </c>
      <c r="E24" s="101" t="s">
        <v>157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125</v>
      </c>
      <c r="B25" s="99" t="s">
        <v>105</v>
      </c>
      <c r="C25" s="100">
        <v>13574429</v>
      </c>
      <c r="D25" s="101" t="s">
        <v>156</v>
      </c>
      <c r="E25" s="101" t="s">
        <v>157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126</v>
      </c>
      <c r="B26" s="99" t="s">
        <v>105</v>
      </c>
      <c r="C26" s="100">
        <v>13207717</v>
      </c>
      <c r="D26" s="101" t="s">
        <v>156</v>
      </c>
      <c r="E26" s="101" t="s">
        <v>157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131</v>
      </c>
      <c r="B27" s="99" t="s">
        <v>105</v>
      </c>
      <c r="C27" s="100">
        <v>10340882</v>
      </c>
      <c r="D27" s="101" t="s">
        <v>156</v>
      </c>
      <c r="E27" s="101" t="s">
        <v>157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132</v>
      </c>
      <c r="B28" s="99" t="s">
        <v>105</v>
      </c>
      <c r="C28" s="100">
        <v>10087617</v>
      </c>
      <c r="D28" s="101" t="s">
        <v>156</v>
      </c>
      <c r="E28" s="101" t="s">
        <v>157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>
      <c r="A29" s="98" t="s">
        <v>57</v>
      </c>
      <c r="B29" s="99" t="s">
        <v>105</v>
      </c>
      <c r="C29" s="100">
        <v>9620526</v>
      </c>
      <c r="D29" s="101" t="s">
        <v>156</v>
      </c>
      <c r="E29" s="101" t="s">
        <v>157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 hidden="1">
      <c r="A30" s="98" t="s">
        <v>140</v>
      </c>
      <c r="B30" s="99" t="s">
        <v>105</v>
      </c>
      <c r="C30" s="100">
        <v>9478764</v>
      </c>
      <c r="D30" s="101" t="s">
        <v>156</v>
      </c>
      <c r="E30" s="101" t="s">
        <v>157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>
      <c r="A31" s="98" t="s">
        <v>60</v>
      </c>
      <c r="B31" s="99" t="s">
        <v>105</v>
      </c>
      <c r="C31" s="100">
        <v>8951676</v>
      </c>
      <c r="D31" s="101" t="s">
        <v>156</v>
      </c>
      <c r="E31" s="101" t="s">
        <v>157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 hidden="1">
      <c r="A32" s="98" t="s">
        <v>137</v>
      </c>
      <c r="B32" s="99" t="s">
        <v>105</v>
      </c>
      <c r="C32" s="100">
        <v>8808553</v>
      </c>
      <c r="D32" s="101" t="s">
        <v>156</v>
      </c>
      <c r="E32" s="101" t="s">
        <v>157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 hidden="1">
      <c r="A33" s="98" t="s">
        <v>145</v>
      </c>
      <c r="B33" s="99" t="s">
        <v>105</v>
      </c>
      <c r="C33" s="100">
        <v>8723535</v>
      </c>
      <c r="D33" s="101" t="s">
        <v>156</v>
      </c>
      <c r="E33" s="101" t="s">
        <v>157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129</v>
      </c>
      <c r="B34" s="99" t="s">
        <v>105</v>
      </c>
      <c r="C34" s="100">
        <v>8345645</v>
      </c>
      <c r="D34" s="101" t="s">
        <v>156</v>
      </c>
      <c r="E34" s="101" t="s">
        <v>157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>
      <c r="A35" s="98" t="s">
        <v>59</v>
      </c>
      <c r="B35" s="99" t="s">
        <v>105</v>
      </c>
      <c r="C35" s="100">
        <v>8136251</v>
      </c>
      <c r="D35" s="101" t="s">
        <v>156</v>
      </c>
      <c r="E35" s="101" t="s">
        <v>157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>
      <c r="A36" s="98" t="s">
        <v>61</v>
      </c>
      <c r="B36" s="99" t="s">
        <v>105</v>
      </c>
      <c r="C36" s="100">
        <v>7933619</v>
      </c>
      <c r="D36" s="101" t="s">
        <v>156</v>
      </c>
      <c r="E36" s="101" t="s">
        <v>157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 hidden="1">
      <c r="A37" s="98" t="s">
        <v>146</v>
      </c>
      <c r="B37" s="99" t="s">
        <v>105</v>
      </c>
      <c r="C37" s="100">
        <v>7880660</v>
      </c>
      <c r="D37" s="101" t="s">
        <v>156</v>
      </c>
      <c r="E37" s="101" t="s">
        <v>157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 hidden="1">
      <c r="A38" s="98" t="s">
        <v>133</v>
      </c>
      <c r="B38" s="99" t="s">
        <v>105</v>
      </c>
      <c r="C38" s="100">
        <v>7782660</v>
      </c>
      <c r="D38" s="101" t="s">
        <v>156</v>
      </c>
      <c r="E38" s="101" t="s">
        <v>157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 hidden="1">
      <c r="A39" s="98" t="s">
        <v>130</v>
      </c>
      <c r="B39" s="99" t="s">
        <v>105</v>
      </c>
      <c r="C39" s="100">
        <v>7773670</v>
      </c>
      <c r="D39" s="101" t="s">
        <v>156</v>
      </c>
      <c r="E39" s="101" t="s">
        <v>157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 hidden="1">
      <c r="A40" s="98" t="s">
        <v>136</v>
      </c>
      <c r="B40" s="99" t="s">
        <v>105</v>
      </c>
      <c r="C40" s="100">
        <v>7766232</v>
      </c>
      <c r="D40" s="101" t="s">
        <v>156</v>
      </c>
      <c r="E40" s="101" t="s">
        <v>157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 hidden="1">
      <c r="A41" s="98" t="s">
        <v>123</v>
      </c>
      <c r="B41" s="99" t="s">
        <v>105</v>
      </c>
      <c r="C41" s="100">
        <v>7450116</v>
      </c>
      <c r="D41" s="101" t="s">
        <v>156</v>
      </c>
      <c r="E41" s="101" t="s">
        <v>157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 hidden="1">
      <c r="A42" s="98" t="s">
        <v>135</v>
      </c>
      <c r="B42" s="99" t="s">
        <v>105</v>
      </c>
      <c r="C42" s="100">
        <v>7214972</v>
      </c>
      <c r="D42" s="101" t="s">
        <v>156</v>
      </c>
      <c r="E42" s="101" t="s">
        <v>157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 hidden="1">
      <c r="A43" s="98" t="s">
        <v>144</v>
      </c>
      <c r="B43" s="99" t="s">
        <v>105</v>
      </c>
      <c r="C43" s="100">
        <v>7020131</v>
      </c>
      <c r="D43" s="101" t="s">
        <v>156</v>
      </c>
      <c r="E43" s="101" t="s">
        <v>157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 hidden="1">
      <c r="A44" s="98" t="s">
        <v>141</v>
      </c>
      <c r="B44" s="99" t="s">
        <v>105</v>
      </c>
      <c r="C44" s="100">
        <v>7012703</v>
      </c>
      <c r="D44" s="101" t="s">
        <v>156</v>
      </c>
      <c r="E44" s="101" t="s">
        <v>157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 hidden="1">
      <c r="A45" s="98" t="s">
        <v>139</v>
      </c>
      <c r="B45" s="99" t="s">
        <v>105</v>
      </c>
      <c r="C45" s="100">
        <v>6830385</v>
      </c>
      <c r="D45" s="101" t="s">
        <v>156</v>
      </c>
      <c r="E45" s="101" t="s">
        <v>157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>
      <c r="A46" s="98" t="s">
        <v>58</v>
      </c>
      <c r="B46" s="99" t="s">
        <v>105</v>
      </c>
      <c r="C46" s="100">
        <v>6729268</v>
      </c>
      <c r="D46" s="101" t="s">
        <v>156</v>
      </c>
      <c r="E46" s="101" t="s">
        <v>157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148</v>
      </c>
      <c r="B47" s="99" t="s">
        <v>105</v>
      </c>
      <c r="C47" s="100">
        <v>6723366</v>
      </c>
      <c r="D47" s="101" t="s">
        <v>156</v>
      </c>
      <c r="E47" s="101" t="s">
        <v>157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>
      <c r="A48" s="98" t="s">
        <v>63</v>
      </c>
      <c r="B48" s="99" t="s">
        <v>105</v>
      </c>
      <c r="C48" s="100">
        <v>6467807</v>
      </c>
      <c r="D48" s="101" t="s">
        <v>156</v>
      </c>
      <c r="E48" s="101" t="s">
        <v>157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 hidden="1">
      <c r="A49" s="98" t="s">
        <v>134</v>
      </c>
      <c r="B49" s="99" t="s">
        <v>105</v>
      </c>
      <c r="C49" s="100">
        <v>6259832</v>
      </c>
      <c r="D49" s="101" t="s">
        <v>156</v>
      </c>
      <c r="E49" s="101" t="s">
        <v>157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 hidden="1">
      <c r="A50" s="98" t="s">
        <v>142</v>
      </c>
      <c r="B50" s="99" t="s">
        <v>105</v>
      </c>
      <c r="C50" s="100">
        <v>6020249</v>
      </c>
      <c r="D50" s="101" t="s">
        <v>156</v>
      </c>
      <c r="E50" s="101" t="s">
        <v>157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>
      <c r="A51" s="98" t="s">
        <v>62</v>
      </c>
      <c r="B51" s="99" t="s">
        <v>105</v>
      </c>
      <c r="C51" s="100">
        <v>5862664</v>
      </c>
      <c r="D51" s="101" t="s">
        <v>156</v>
      </c>
      <c r="E51" s="101" t="s">
        <v>157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 hidden="1">
      <c r="A52" s="98" t="s">
        <v>143</v>
      </c>
      <c r="B52" s="99" t="s">
        <v>105</v>
      </c>
      <c r="C52" s="100">
        <v>5354029</v>
      </c>
      <c r="D52" s="101" t="s">
        <v>156</v>
      </c>
      <c r="E52" s="101" t="s">
        <v>157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>
      <c r="A53" s="98" t="s">
        <v>64</v>
      </c>
      <c r="B53" s="99" t="s">
        <v>105</v>
      </c>
      <c r="C53" s="100">
        <v>5078532</v>
      </c>
      <c r="D53" s="101" t="s">
        <v>156</v>
      </c>
      <c r="E53" s="101" t="s">
        <v>157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>
      <c r="A54" s="98" t="s">
        <v>65</v>
      </c>
      <c r="B54" s="99" t="s">
        <v>105</v>
      </c>
      <c r="C54" s="100">
        <v>4959501</v>
      </c>
      <c r="D54" s="101" t="s">
        <v>156</v>
      </c>
      <c r="E54" s="101" t="s">
        <v>157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 hidden="1">
      <c r="A55" s="98" t="s">
        <v>138</v>
      </c>
      <c r="B55" s="99" t="s">
        <v>105</v>
      </c>
      <c r="C55" s="100">
        <v>4851249</v>
      </c>
      <c r="D55" s="101" t="s">
        <v>156</v>
      </c>
      <c r="E55" s="101" t="s">
        <v>157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>
      <c r="A56" s="98" t="s">
        <v>66</v>
      </c>
      <c r="B56" s="99" t="s">
        <v>105</v>
      </c>
      <c r="C56" s="100">
        <v>4253724</v>
      </c>
      <c r="D56" s="101" t="s">
        <v>156</v>
      </c>
      <c r="E56" s="101" t="s">
        <v>157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 hidden="1">
      <c r="A57" s="98" t="s">
        <v>147</v>
      </c>
      <c r="B57" s="99" t="s">
        <v>105</v>
      </c>
      <c r="C57" s="100">
        <v>3530672</v>
      </c>
      <c r="D57" s="101" t="s">
        <v>156</v>
      </c>
      <c r="E57" s="101" t="s">
        <v>157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 hidden="1">
      <c r="A58" s="98" t="s">
        <v>149</v>
      </c>
      <c r="B58" s="99" t="s">
        <v>105</v>
      </c>
      <c r="C58" s="100">
        <v>3463687</v>
      </c>
      <c r="D58" s="101" t="s">
        <v>156</v>
      </c>
      <c r="E58" s="101" t="s">
        <v>157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>
      <c r="A59" s="98" t="s">
        <v>67</v>
      </c>
      <c r="B59" s="99" t="s">
        <v>105</v>
      </c>
      <c r="C59" s="100">
        <v>2961656</v>
      </c>
      <c r="D59" s="101" t="s">
        <v>156</v>
      </c>
      <c r="E59" s="101" t="s">
        <v>157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>
      <c r="A60" s="98" t="s">
        <v>69</v>
      </c>
      <c r="B60" s="99" t="s">
        <v>105</v>
      </c>
      <c r="C60" s="100">
        <v>2882603</v>
      </c>
      <c r="D60" s="101" t="s">
        <v>156</v>
      </c>
      <c r="E60" s="101" t="s">
        <v>157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>
      <c r="A61" s="98" t="s">
        <v>70</v>
      </c>
      <c r="B61" s="99" t="s">
        <v>105</v>
      </c>
      <c r="C61" s="100">
        <v>2799486</v>
      </c>
      <c r="D61" s="101" t="s">
        <v>156</v>
      </c>
      <c r="E61" s="101" t="s">
        <v>157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>
      <c r="A62" s="98" t="s">
        <v>68</v>
      </c>
      <c r="B62" s="99" t="s">
        <v>105</v>
      </c>
      <c r="C62" s="100">
        <v>2416214</v>
      </c>
      <c r="D62" s="101" t="s">
        <v>156</v>
      </c>
      <c r="E62" s="101" t="s">
        <v>157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 hidden="1">
      <c r="A63" s="98" t="s">
        <v>150</v>
      </c>
      <c r="B63" s="99" t="s">
        <v>105</v>
      </c>
      <c r="C63" s="100">
        <v>2278262</v>
      </c>
      <c r="D63" s="101" t="s">
        <v>156</v>
      </c>
      <c r="E63" s="101" t="s">
        <v>157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>
      <c r="A64" s="98" t="s">
        <v>71</v>
      </c>
      <c r="B64" s="99" t="s">
        <v>105</v>
      </c>
      <c r="C64" s="100">
        <v>1250217</v>
      </c>
      <c r="D64" s="101" t="s">
        <v>156</v>
      </c>
      <c r="E64" s="101" t="s">
        <v>157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 hidden="1">
      <c r="A65" s="98" t="s">
        <v>151</v>
      </c>
      <c r="B65" s="99" t="s">
        <v>105</v>
      </c>
      <c r="C65" s="100">
        <v>637977</v>
      </c>
      <c r="D65" s="101" t="s">
        <v>156</v>
      </c>
      <c r="E65" s="101" t="s">
        <v>157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124900</v>
      </c>
      <c r="D66" s="101" t="s">
        <v>156</v>
      </c>
      <c r="E66" s="101" t="s">
        <v>157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8" t="s">
        <v>153</v>
      </c>
      <c r="B67" s="99" t="s">
        <v>105</v>
      </c>
      <c r="C67" s="100">
        <v>657</v>
      </c>
      <c r="D67" s="101" t="s">
        <v>156</v>
      </c>
      <c r="E67" s="101" t="s">
        <v>157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 hidden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 hidden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 hidden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 hidden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 hidden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 hidden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 hidden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 hidden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 hidden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 hidden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 hidden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 hidden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 hidden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 hidden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 hidden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 hidden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 hidden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 hidden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 hidden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 hidden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 hidden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 hidden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 hidden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 hidden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 hidden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 hidden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 hidden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 hidden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 hidden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 hidden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 hidden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Z1000" xr:uid="{00000000-0009-0000-0000-000007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Z1000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1295953590</v>
      </c>
      <c r="D2" s="101" t="s">
        <v>158</v>
      </c>
      <c r="E2" s="101" t="s">
        <v>159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407487031</v>
      </c>
      <c r="D3" s="101" t="s">
        <v>158</v>
      </c>
      <c r="E3" s="101" t="s">
        <v>159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209541854</v>
      </c>
      <c r="D4" s="101" t="s">
        <v>158</v>
      </c>
      <c r="E4" s="101" t="s">
        <v>159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52654505</v>
      </c>
      <c r="D5" s="101" t="s">
        <v>158</v>
      </c>
      <c r="E5" s="101" t="s">
        <v>159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>
      <c r="A6" s="98" t="s">
        <v>54</v>
      </c>
      <c r="B6" s="99" t="s">
        <v>105</v>
      </c>
      <c r="C6" s="100">
        <v>30143684</v>
      </c>
      <c r="D6" s="101" t="s">
        <v>158</v>
      </c>
      <c r="E6" s="101" t="s">
        <v>159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 hidden="1">
      <c r="A7" s="98" t="s">
        <v>111</v>
      </c>
      <c r="B7" s="99" t="s">
        <v>105</v>
      </c>
      <c r="C7" s="100">
        <v>27884896</v>
      </c>
      <c r="D7" s="101" t="s">
        <v>158</v>
      </c>
      <c r="E7" s="101" t="s">
        <v>159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 hidden="1">
      <c r="A8" s="98" t="s">
        <v>110</v>
      </c>
      <c r="B8" s="99" t="s">
        <v>105</v>
      </c>
      <c r="C8" s="100">
        <v>27752845</v>
      </c>
      <c r="D8" s="101" t="s">
        <v>158</v>
      </c>
      <c r="E8" s="101" t="s">
        <v>159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113</v>
      </c>
      <c r="B9" s="99" t="s">
        <v>105</v>
      </c>
      <c r="C9" s="100">
        <v>25227016</v>
      </c>
      <c r="D9" s="101" t="s">
        <v>158</v>
      </c>
      <c r="E9" s="101" t="s">
        <v>159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114</v>
      </c>
      <c r="B10" s="99" t="s">
        <v>105</v>
      </c>
      <c r="C10" s="100">
        <v>25107544</v>
      </c>
      <c r="D10" s="101" t="s">
        <v>158</v>
      </c>
      <c r="E10" s="101" t="s">
        <v>159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 hidden="1">
      <c r="A11" s="98" t="s">
        <v>112</v>
      </c>
      <c r="B11" s="99" t="s">
        <v>105</v>
      </c>
      <c r="C11" s="100">
        <v>24861072</v>
      </c>
      <c r="D11" s="101" t="s">
        <v>158</v>
      </c>
      <c r="E11" s="101" t="s">
        <v>159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 hidden="1">
      <c r="A12" s="98" t="s">
        <v>115</v>
      </c>
      <c r="B12" s="99" t="s">
        <v>105</v>
      </c>
      <c r="C12" s="100">
        <v>21304900</v>
      </c>
      <c r="D12" s="101" t="s">
        <v>158</v>
      </c>
      <c r="E12" s="101" t="s">
        <v>159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>
      <c r="A13" s="98" t="s">
        <v>55</v>
      </c>
      <c r="B13" s="99" t="s">
        <v>105</v>
      </c>
      <c r="C13" s="100">
        <v>20041270</v>
      </c>
      <c r="D13" s="101" t="s">
        <v>158</v>
      </c>
      <c r="E13" s="101" t="s">
        <v>159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 hidden="1">
      <c r="A14" s="98" t="s">
        <v>120</v>
      </c>
      <c r="B14" s="99" t="s">
        <v>105</v>
      </c>
      <c r="C14" s="100">
        <v>18624710</v>
      </c>
      <c r="D14" s="101" t="s">
        <v>158</v>
      </c>
      <c r="E14" s="101" t="s">
        <v>159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>
      <c r="A15" s="98" t="s">
        <v>56</v>
      </c>
      <c r="B15" s="99" t="s">
        <v>105</v>
      </c>
      <c r="C15" s="100">
        <v>18098405</v>
      </c>
      <c r="D15" s="101" t="s">
        <v>158</v>
      </c>
      <c r="E15" s="101" t="s">
        <v>159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122</v>
      </c>
      <c r="B16" s="99" t="s">
        <v>105</v>
      </c>
      <c r="C16" s="100">
        <v>17047382</v>
      </c>
      <c r="D16" s="101" t="s">
        <v>158</v>
      </c>
      <c r="E16" s="101" t="s">
        <v>159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124</v>
      </c>
      <c r="B17" s="99" t="s">
        <v>105</v>
      </c>
      <c r="C17" s="100">
        <v>16475625</v>
      </c>
      <c r="D17" s="101" t="s">
        <v>158</v>
      </c>
      <c r="E17" s="101" t="s">
        <v>159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 hidden="1">
      <c r="A18" s="98" t="s">
        <v>118</v>
      </c>
      <c r="B18" s="99" t="s">
        <v>105</v>
      </c>
      <c r="C18" s="100">
        <v>16183985</v>
      </c>
      <c r="D18" s="101" t="s">
        <v>158</v>
      </c>
      <c r="E18" s="101" t="s">
        <v>159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121</v>
      </c>
      <c r="B19" s="99" t="s">
        <v>105</v>
      </c>
      <c r="C19" s="100">
        <v>16121630</v>
      </c>
      <c r="D19" s="101" t="s">
        <v>158</v>
      </c>
      <c r="E19" s="101" t="s">
        <v>159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117</v>
      </c>
      <c r="B20" s="99" t="s">
        <v>105</v>
      </c>
      <c r="C20" s="100">
        <v>15884032</v>
      </c>
      <c r="D20" s="101" t="s">
        <v>158</v>
      </c>
      <c r="E20" s="101" t="s">
        <v>159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119</v>
      </c>
      <c r="B21" s="99" t="s">
        <v>105</v>
      </c>
      <c r="C21" s="100">
        <v>15776174</v>
      </c>
      <c r="D21" s="101" t="s">
        <v>158</v>
      </c>
      <c r="E21" s="101" t="s">
        <v>159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127</v>
      </c>
      <c r="B22" s="99" t="s">
        <v>105</v>
      </c>
      <c r="C22" s="100">
        <v>14810313</v>
      </c>
      <c r="D22" s="101" t="s">
        <v>158</v>
      </c>
      <c r="E22" s="101" t="s">
        <v>159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128</v>
      </c>
      <c r="B23" s="99" t="s">
        <v>105</v>
      </c>
      <c r="C23" s="100">
        <v>13713663</v>
      </c>
      <c r="D23" s="101" t="s">
        <v>158</v>
      </c>
      <c r="E23" s="101" t="s">
        <v>159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116</v>
      </c>
      <c r="B24" s="99" t="s">
        <v>105</v>
      </c>
      <c r="C24" s="100">
        <v>13183248</v>
      </c>
      <c r="D24" s="101" t="s">
        <v>158</v>
      </c>
      <c r="E24" s="101" t="s">
        <v>159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125</v>
      </c>
      <c r="B25" s="99" t="s">
        <v>105</v>
      </c>
      <c r="C25" s="100">
        <v>12350675</v>
      </c>
      <c r="D25" s="101" t="s">
        <v>158</v>
      </c>
      <c r="E25" s="101" t="s">
        <v>159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126</v>
      </c>
      <c r="B26" s="99" t="s">
        <v>105</v>
      </c>
      <c r="C26" s="100">
        <v>12115756</v>
      </c>
      <c r="D26" s="101" t="s">
        <v>158</v>
      </c>
      <c r="E26" s="101" t="s">
        <v>159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131</v>
      </c>
      <c r="B27" s="99" t="s">
        <v>105</v>
      </c>
      <c r="C27" s="100">
        <v>9768212</v>
      </c>
      <c r="D27" s="101" t="s">
        <v>158</v>
      </c>
      <c r="E27" s="101" t="s">
        <v>159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132</v>
      </c>
      <c r="B28" s="99" t="s">
        <v>105</v>
      </c>
      <c r="C28" s="100">
        <v>9702428</v>
      </c>
      <c r="D28" s="101" t="s">
        <v>158</v>
      </c>
      <c r="E28" s="101" t="s">
        <v>159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 hidden="1">
      <c r="A29" s="98" t="s">
        <v>146</v>
      </c>
      <c r="B29" s="99" t="s">
        <v>105</v>
      </c>
      <c r="C29" s="100">
        <v>9106145</v>
      </c>
      <c r="D29" s="101" t="s">
        <v>158</v>
      </c>
      <c r="E29" s="101" t="s">
        <v>159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>
      <c r="A30" s="98" t="s">
        <v>57</v>
      </c>
      <c r="B30" s="99" t="s">
        <v>105</v>
      </c>
      <c r="C30" s="100">
        <v>8841583</v>
      </c>
      <c r="D30" s="101" t="s">
        <v>158</v>
      </c>
      <c r="E30" s="101" t="s">
        <v>159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 hidden="1">
      <c r="A31" s="98" t="s">
        <v>136</v>
      </c>
      <c r="B31" s="99" t="s">
        <v>105</v>
      </c>
      <c r="C31" s="100">
        <v>8766946</v>
      </c>
      <c r="D31" s="101" t="s">
        <v>158</v>
      </c>
      <c r="E31" s="101" t="s">
        <v>159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 hidden="1">
      <c r="A32" s="98" t="s">
        <v>140</v>
      </c>
      <c r="B32" s="99" t="s">
        <v>105</v>
      </c>
      <c r="C32" s="100">
        <v>8465598</v>
      </c>
      <c r="D32" s="101" t="s">
        <v>158</v>
      </c>
      <c r="E32" s="101" t="s">
        <v>159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>
      <c r="A33" s="98" t="s">
        <v>60</v>
      </c>
      <c r="B33" s="99" t="s">
        <v>105</v>
      </c>
      <c r="C33" s="100">
        <v>8161105</v>
      </c>
      <c r="D33" s="101" t="s">
        <v>158</v>
      </c>
      <c r="E33" s="101" t="s">
        <v>159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130</v>
      </c>
      <c r="B34" s="99" t="s">
        <v>105</v>
      </c>
      <c r="C34" s="100">
        <v>8045209</v>
      </c>
      <c r="D34" s="101" t="s">
        <v>158</v>
      </c>
      <c r="E34" s="101" t="s">
        <v>159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 hidden="1">
      <c r="A35" s="98" t="s">
        <v>129</v>
      </c>
      <c r="B35" s="99" t="s">
        <v>105</v>
      </c>
      <c r="C35" s="100">
        <v>7774897</v>
      </c>
      <c r="D35" s="101" t="s">
        <v>158</v>
      </c>
      <c r="E35" s="101" t="s">
        <v>159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>
      <c r="A36" s="98" t="s">
        <v>59</v>
      </c>
      <c r="B36" s="99" t="s">
        <v>105</v>
      </c>
      <c r="C36" s="100">
        <v>7694749</v>
      </c>
      <c r="D36" s="101" t="s">
        <v>158</v>
      </c>
      <c r="E36" s="101" t="s">
        <v>159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 hidden="1">
      <c r="A37" s="98" t="s">
        <v>123</v>
      </c>
      <c r="B37" s="99" t="s">
        <v>105</v>
      </c>
      <c r="C37" s="100">
        <v>7459427</v>
      </c>
      <c r="D37" s="101" t="s">
        <v>158</v>
      </c>
      <c r="E37" s="101" t="s">
        <v>159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>
      <c r="A38" s="98" t="s">
        <v>61</v>
      </c>
      <c r="B38" s="99" t="s">
        <v>105</v>
      </c>
      <c r="C38" s="100">
        <v>6923494</v>
      </c>
      <c r="D38" s="101" t="s">
        <v>158</v>
      </c>
      <c r="E38" s="101" t="s">
        <v>159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 hidden="1">
      <c r="A39" s="98" t="s">
        <v>135</v>
      </c>
      <c r="B39" s="99" t="s">
        <v>105</v>
      </c>
      <c r="C39" s="100">
        <v>6832038</v>
      </c>
      <c r="D39" s="101" t="s">
        <v>158</v>
      </c>
      <c r="E39" s="101" t="s">
        <v>159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 hidden="1">
      <c r="A40" s="98" t="s">
        <v>145</v>
      </c>
      <c r="B40" s="99" t="s">
        <v>105</v>
      </c>
      <c r="C40" s="100">
        <v>6830314</v>
      </c>
      <c r="D40" s="101" t="s">
        <v>158</v>
      </c>
      <c r="E40" s="101" t="s">
        <v>159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 hidden="1">
      <c r="A41" s="98" t="s">
        <v>137</v>
      </c>
      <c r="B41" s="99" t="s">
        <v>105</v>
      </c>
      <c r="C41" s="100">
        <v>6711773</v>
      </c>
      <c r="D41" s="101" t="s">
        <v>158</v>
      </c>
      <c r="E41" s="101" t="s">
        <v>159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>
      <c r="A42" s="98" t="s">
        <v>62</v>
      </c>
      <c r="B42" s="99" t="s">
        <v>105</v>
      </c>
      <c r="C42" s="100">
        <v>6314255</v>
      </c>
      <c r="D42" s="101" t="s">
        <v>158</v>
      </c>
      <c r="E42" s="101" t="s">
        <v>159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 hidden="1">
      <c r="A43" s="98" t="s">
        <v>141</v>
      </c>
      <c r="B43" s="99" t="s">
        <v>105</v>
      </c>
      <c r="C43" s="100">
        <v>6268770</v>
      </c>
      <c r="D43" s="101" t="s">
        <v>158</v>
      </c>
      <c r="E43" s="101" t="s">
        <v>159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 hidden="1">
      <c r="A44" s="98" t="s">
        <v>148</v>
      </c>
      <c r="B44" s="99" t="s">
        <v>105</v>
      </c>
      <c r="C44" s="100">
        <v>6242417</v>
      </c>
      <c r="D44" s="101" t="s">
        <v>158</v>
      </c>
      <c r="E44" s="101" t="s">
        <v>159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 hidden="1">
      <c r="A45" s="98" t="s">
        <v>134</v>
      </c>
      <c r="B45" s="99" t="s">
        <v>105</v>
      </c>
      <c r="C45" s="100">
        <v>6151627</v>
      </c>
      <c r="D45" s="101" t="s">
        <v>158</v>
      </c>
      <c r="E45" s="101" t="s">
        <v>159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>
      <c r="A46" s="98" t="s">
        <v>58</v>
      </c>
      <c r="B46" s="99" t="s">
        <v>105</v>
      </c>
      <c r="C46" s="100">
        <v>5999482</v>
      </c>
      <c r="D46" s="101" t="s">
        <v>158</v>
      </c>
      <c r="E46" s="101" t="s">
        <v>159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144</v>
      </c>
      <c r="B47" s="99" t="s">
        <v>105</v>
      </c>
      <c r="C47" s="100">
        <v>5993918</v>
      </c>
      <c r="D47" s="101" t="s">
        <v>158</v>
      </c>
      <c r="E47" s="101" t="s">
        <v>159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 hidden="1">
      <c r="A48" s="98" t="s">
        <v>133</v>
      </c>
      <c r="B48" s="99" t="s">
        <v>105</v>
      </c>
      <c r="C48" s="100">
        <v>5988767</v>
      </c>
      <c r="D48" s="101" t="s">
        <v>158</v>
      </c>
      <c r="E48" s="101" t="s">
        <v>159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 hidden="1">
      <c r="A49" s="98" t="s">
        <v>139</v>
      </c>
      <c r="B49" s="99" t="s">
        <v>105</v>
      </c>
      <c r="C49" s="100">
        <v>5716234</v>
      </c>
      <c r="D49" s="101" t="s">
        <v>158</v>
      </c>
      <c r="E49" s="101" t="s">
        <v>159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>
      <c r="A50" s="98" t="s">
        <v>63</v>
      </c>
      <c r="B50" s="99" t="s">
        <v>105</v>
      </c>
      <c r="C50" s="100">
        <v>5696587</v>
      </c>
      <c r="D50" s="101" t="s">
        <v>158</v>
      </c>
      <c r="E50" s="101" t="s">
        <v>159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 hidden="1">
      <c r="A51" s="98" t="s">
        <v>138</v>
      </c>
      <c r="B51" s="99" t="s">
        <v>105</v>
      </c>
      <c r="C51" s="100">
        <v>5611389</v>
      </c>
      <c r="D51" s="101" t="s">
        <v>158</v>
      </c>
      <c r="E51" s="101" t="s">
        <v>159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 hidden="1">
      <c r="A52" s="98" t="s">
        <v>143</v>
      </c>
      <c r="B52" s="99" t="s">
        <v>105</v>
      </c>
      <c r="C52" s="100">
        <v>5380715</v>
      </c>
      <c r="D52" s="101" t="s">
        <v>158</v>
      </c>
      <c r="E52" s="101" t="s">
        <v>159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 hidden="1">
      <c r="A53" s="98" t="s">
        <v>142</v>
      </c>
      <c r="B53" s="99" t="s">
        <v>105</v>
      </c>
      <c r="C53" s="100">
        <v>5221677</v>
      </c>
      <c r="D53" s="101" t="s">
        <v>158</v>
      </c>
      <c r="E53" s="101" t="s">
        <v>159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>
      <c r="A54" s="98" t="s">
        <v>64</v>
      </c>
      <c r="B54" s="99" t="s">
        <v>105</v>
      </c>
      <c r="C54" s="100">
        <v>4441901</v>
      </c>
      <c r="D54" s="101" t="s">
        <v>158</v>
      </c>
      <c r="E54" s="101" t="s">
        <v>159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>
      <c r="A55" s="98" t="s">
        <v>66</v>
      </c>
      <c r="B55" s="99" t="s">
        <v>105</v>
      </c>
      <c r="C55" s="100">
        <v>3947827</v>
      </c>
      <c r="D55" s="101" t="s">
        <v>158</v>
      </c>
      <c r="E55" s="101" t="s">
        <v>159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>
      <c r="A56" s="98" t="s">
        <v>65</v>
      </c>
      <c r="B56" s="99" t="s">
        <v>105</v>
      </c>
      <c r="C56" s="100">
        <v>3283010</v>
      </c>
      <c r="D56" s="101" t="s">
        <v>158</v>
      </c>
      <c r="E56" s="101" t="s">
        <v>159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 hidden="1">
      <c r="A57" s="98" t="s">
        <v>149</v>
      </c>
      <c r="B57" s="99" t="s">
        <v>105</v>
      </c>
      <c r="C57" s="100">
        <v>3005806</v>
      </c>
      <c r="D57" s="101" t="s">
        <v>158</v>
      </c>
      <c r="E57" s="101" t="s">
        <v>159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 hidden="1">
      <c r="A58" s="98" t="s">
        <v>147</v>
      </c>
      <c r="B58" s="99" t="s">
        <v>105</v>
      </c>
      <c r="C58" s="100">
        <v>2836811</v>
      </c>
      <c r="D58" s="101" t="s">
        <v>158</v>
      </c>
      <c r="E58" s="101" t="s">
        <v>159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 hidden="1">
      <c r="A59" s="98" t="s">
        <v>150</v>
      </c>
      <c r="B59" s="99" t="s">
        <v>105</v>
      </c>
      <c r="C59" s="100">
        <v>2791701</v>
      </c>
      <c r="D59" s="101" t="s">
        <v>158</v>
      </c>
      <c r="E59" s="101" t="s">
        <v>159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>
      <c r="A60" s="98" t="s">
        <v>70</v>
      </c>
      <c r="B60" s="99" t="s">
        <v>105</v>
      </c>
      <c r="C60" s="100">
        <v>2705467</v>
      </c>
      <c r="D60" s="101" t="s">
        <v>158</v>
      </c>
      <c r="E60" s="101" t="s">
        <v>159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>
      <c r="A61" s="98" t="s">
        <v>67</v>
      </c>
      <c r="B61" s="99" t="s">
        <v>105</v>
      </c>
      <c r="C61" s="100">
        <v>2503870</v>
      </c>
      <c r="D61" s="101" t="s">
        <v>158</v>
      </c>
      <c r="E61" s="101" t="s">
        <v>159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>
      <c r="A62" s="98" t="s">
        <v>69</v>
      </c>
      <c r="B62" s="99" t="s">
        <v>105</v>
      </c>
      <c r="C62" s="100">
        <v>2231294</v>
      </c>
      <c r="D62" s="101" t="s">
        <v>158</v>
      </c>
      <c r="E62" s="101" t="s">
        <v>159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>
      <c r="A63" s="98" t="s">
        <v>68</v>
      </c>
      <c r="B63" s="99" t="s">
        <v>105</v>
      </c>
      <c r="C63" s="100">
        <v>2045671</v>
      </c>
      <c r="D63" s="101" t="s">
        <v>158</v>
      </c>
      <c r="E63" s="101" t="s">
        <v>159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>
      <c r="A64" s="98" t="s">
        <v>71</v>
      </c>
      <c r="B64" s="99" t="s">
        <v>105</v>
      </c>
      <c r="C64" s="100">
        <v>1460148</v>
      </c>
      <c r="D64" s="101" t="s">
        <v>158</v>
      </c>
      <c r="E64" s="101" t="s">
        <v>159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 hidden="1">
      <c r="A65" s="98" t="s">
        <v>151</v>
      </c>
      <c r="B65" s="99" t="s">
        <v>105</v>
      </c>
      <c r="C65" s="100">
        <v>587345</v>
      </c>
      <c r="D65" s="101" t="s">
        <v>158</v>
      </c>
      <c r="E65" s="101" t="s">
        <v>159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50621</v>
      </c>
      <c r="D66" s="101" t="s">
        <v>158</v>
      </c>
      <c r="E66" s="101" t="s">
        <v>159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8" t="s">
        <v>153</v>
      </c>
      <c r="B67" s="99" t="s">
        <v>105</v>
      </c>
      <c r="C67" s="100">
        <v>147</v>
      </c>
      <c r="D67" s="101" t="s">
        <v>158</v>
      </c>
      <c r="E67" s="101" t="s">
        <v>159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 hidden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 hidden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 hidden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 hidden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 hidden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 hidden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 hidden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 hidden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 hidden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 hidden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 hidden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 hidden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 hidden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 hidden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 hidden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 hidden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 hidden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 hidden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 hidden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 hidden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 hidden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 hidden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 hidden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 hidden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 hidden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 hidden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 hidden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 hidden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 hidden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 hidden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 hidden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Z1000" xr:uid="{00000000-0009-0000-0000-000008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Z1000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1121384270</v>
      </c>
      <c r="D2" s="101" t="s">
        <v>160</v>
      </c>
      <c r="E2" s="101" t="s">
        <v>161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324010005</v>
      </c>
      <c r="D3" s="101" t="s">
        <v>160</v>
      </c>
      <c r="E3" s="101" t="s">
        <v>161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159860139</v>
      </c>
      <c r="D4" s="101" t="s">
        <v>160</v>
      </c>
      <c r="E4" s="101" t="s">
        <v>161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41340745</v>
      </c>
      <c r="D5" s="101" t="s">
        <v>160</v>
      </c>
      <c r="E5" s="101" t="s">
        <v>161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>
      <c r="A6" s="98" t="s">
        <v>54</v>
      </c>
      <c r="B6" s="99" t="s">
        <v>105</v>
      </c>
      <c r="C6" s="100">
        <v>25874584</v>
      </c>
      <c r="D6" s="101" t="s">
        <v>160</v>
      </c>
      <c r="E6" s="101" t="s">
        <v>161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 hidden="1">
      <c r="A7" s="98" t="s">
        <v>111</v>
      </c>
      <c r="B7" s="99" t="s">
        <v>105</v>
      </c>
      <c r="C7" s="100">
        <v>25751033</v>
      </c>
      <c r="D7" s="101" t="s">
        <v>160</v>
      </c>
      <c r="E7" s="101" t="s">
        <v>161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 hidden="1">
      <c r="A8" s="98" t="s">
        <v>113</v>
      </c>
      <c r="B8" s="99" t="s">
        <v>105</v>
      </c>
      <c r="C8" s="100">
        <v>24035564</v>
      </c>
      <c r="D8" s="101" t="s">
        <v>160</v>
      </c>
      <c r="E8" s="101" t="s">
        <v>161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110</v>
      </c>
      <c r="B9" s="99" t="s">
        <v>105</v>
      </c>
      <c r="C9" s="100">
        <v>23790539</v>
      </c>
      <c r="D9" s="101" t="s">
        <v>160</v>
      </c>
      <c r="E9" s="101" t="s">
        <v>161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112</v>
      </c>
      <c r="B10" s="99" t="s">
        <v>105</v>
      </c>
      <c r="C10" s="100">
        <v>22895523</v>
      </c>
      <c r="D10" s="101" t="s">
        <v>160</v>
      </c>
      <c r="E10" s="101" t="s">
        <v>161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 hidden="1">
      <c r="A11" s="98" t="s">
        <v>115</v>
      </c>
      <c r="B11" s="99" t="s">
        <v>105</v>
      </c>
      <c r="C11" s="100">
        <v>21100353</v>
      </c>
      <c r="D11" s="101" t="s">
        <v>160</v>
      </c>
      <c r="E11" s="101" t="s">
        <v>161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 hidden="1">
      <c r="A12" s="98" t="s">
        <v>114</v>
      </c>
      <c r="B12" s="99" t="s">
        <v>105</v>
      </c>
      <c r="C12" s="100">
        <v>20998745</v>
      </c>
      <c r="D12" s="101" t="s">
        <v>160</v>
      </c>
      <c r="E12" s="101" t="s">
        <v>161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>
      <c r="A13" s="98" t="s">
        <v>55</v>
      </c>
      <c r="B13" s="99" t="s">
        <v>105</v>
      </c>
      <c r="C13" s="100">
        <v>18905582</v>
      </c>
      <c r="D13" s="101" t="s">
        <v>160</v>
      </c>
      <c r="E13" s="101" t="s">
        <v>161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 hidden="1">
      <c r="A14" s="98" t="s">
        <v>121</v>
      </c>
      <c r="B14" s="99" t="s">
        <v>105</v>
      </c>
      <c r="C14" s="100">
        <v>16573887</v>
      </c>
      <c r="D14" s="101" t="s">
        <v>160</v>
      </c>
      <c r="E14" s="101" t="s">
        <v>161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>
      <c r="A15" s="98" t="s">
        <v>56</v>
      </c>
      <c r="B15" s="99" t="s">
        <v>105</v>
      </c>
      <c r="C15" s="100">
        <v>15970752</v>
      </c>
      <c r="D15" s="101" t="s">
        <v>160</v>
      </c>
      <c r="E15" s="101" t="s">
        <v>161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122</v>
      </c>
      <c r="B16" s="99" t="s">
        <v>105</v>
      </c>
      <c r="C16" s="100">
        <v>15427508</v>
      </c>
      <c r="D16" s="101" t="s">
        <v>160</v>
      </c>
      <c r="E16" s="101" t="s">
        <v>161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118</v>
      </c>
      <c r="B17" s="99" t="s">
        <v>105</v>
      </c>
      <c r="C17" s="100">
        <v>14771842</v>
      </c>
      <c r="D17" s="101" t="s">
        <v>160</v>
      </c>
      <c r="E17" s="101" t="s">
        <v>161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 hidden="1">
      <c r="A18" s="98" t="s">
        <v>119</v>
      </c>
      <c r="B18" s="99" t="s">
        <v>105</v>
      </c>
      <c r="C18" s="100">
        <v>14496615</v>
      </c>
      <c r="D18" s="101" t="s">
        <v>160</v>
      </c>
      <c r="E18" s="101" t="s">
        <v>161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117</v>
      </c>
      <c r="B19" s="99" t="s">
        <v>105</v>
      </c>
      <c r="C19" s="100">
        <v>14231574</v>
      </c>
      <c r="D19" s="101" t="s">
        <v>160</v>
      </c>
      <c r="E19" s="101" t="s">
        <v>161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120</v>
      </c>
      <c r="B20" s="99" t="s">
        <v>105</v>
      </c>
      <c r="C20" s="100">
        <v>14148837</v>
      </c>
      <c r="D20" s="101" t="s">
        <v>160</v>
      </c>
      <c r="E20" s="101" t="s">
        <v>161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116</v>
      </c>
      <c r="B21" s="99" t="s">
        <v>105</v>
      </c>
      <c r="C21" s="100">
        <v>14091632</v>
      </c>
      <c r="D21" s="101" t="s">
        <v>160</v>
      </c>
      <c r="E21" s="101" t="s">
        <v>161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124</v>
      </c>
      <c r="B22" s="99" t="s">
        <v>105</v>
      </c>
      <c r="C22" s="100">
        <v>14020275</v>
      </c>
      <c r="D22" s="101" t="s">
        <v>160</v>
      </c>
      <c r="E22" s="101" t="s">
        <v>161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127</v>
      </c>
      <c r="B23" s="99" t="s">
        <v>105</v>
      </c>
      <c r="C23" s="100">
        <v>13859085</v>
      </c>
      <c r="D23" s="101" t="s">
        <v>160</v>
      </c>
      <c r="E23" s="101" t="s">
        <v>161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125</v>
      </c>
      <c r="B24" s="99" t="s">
        <v>105</v>
      </c>
      <c r="C24" s="100">
        <v>12388653</v>
      </c>
      <c r="D24" s="101" t="s">
        <v>160</v>
      </c>
      <c r="E24" s="101" t="s">
        <v>161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126</v>
      </c>
      <c r="B25" s="99" t="s">
        <v>105</v>
      </c>
      <c r="C25" s="100">
        <v>11818109</v>
      </c>
      <c r="D25" s="101" t="s">
        <v>160</v>
      </c>
      <c r="E25" s="101" t="s">
        <v>161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128</v>
      </c>
      <c r="B26" s="99" t="s">
        <v>105</v>
      </c>
      <c r="C26" s="100">
        <v>11342229</v>
      </c>
      <c r="D26" s="101" t="s">
        <v>160</v>
      </c>
      <c r="E26" s="101" t="s">
        <v>161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136</v>
      </c>
      <c r="B27" s="99" t="s">
        <v>105</v>
      </c>
      <c r="C27" s="100">
        <v>9878503</v>
      </c>
      <c r="D27" s="101" t="s">
        <v>160</v>
      </c>
      <c r="E27" s="101" t="s">
        <v>161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145</v>
      </c>
      <c r="B28" s="99" t="s">
        <v>105</v>
      </c>
      <c r="C28" s="100">
        <v>9483914</v>
      </c>
      <c r="D28" s="101" t="s">
        <v>160</v>
      </c>
      <c r="E28" s="101" t="s">
        <v>161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 hidden="1">
      <c r="A29" s="98" t="s">
        <v>123</v>
      </c>
      <c r="B29" s="99" t="s">
        <v>105</v>
      </c>
      <c r="C29" s="100">
        <v>9037997</v>
      </c>
      <c r="D29" s="101" t="s">
        <v>160</v>
      </c>
      <c r="E29" s="101" t="s">
        <v>161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>
      <c r="A30" s="98" t="s">
        <v>60</v>
      </c>
      <c r="B30" s="99" t="s">
        <v>105</v>
      </c>
      <c r="C30" s="100">
        <v>8873014</v>
      </c>
      <c r="D30" s="101" t="s">
        <v>160</v>
      </c>
      <c r="E30" s="101" t="s">
        <v>161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 hidden="1">
      <c r="A31" s="98" t="s">
        <v>129</v>
      </c>
      <c r="B31" s="99" t="s">
        <v>105</v>
      </c>
      <c r="C31" s="100">
        <v>8769529</v>
      </c>
      <c r="D31" s="101" t="s">
        <v>160</v>
      </c>
      <c r="E31" s="101" t="s">
        <v>161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 hidden="1">
      <c r="A32" s="98" t="s">
        <v>132</v>
      </c>
      <c r="B32" s="99" t="s">
        <v>105</v>
      </c>
      <c r="C32" s="100">
        <v>8201374</v>
      </c>
      <c r="D32" s="101" t="s">
        <v>160</v>
      </c>
      <c r="E32" s="101" t="s">
        <v>161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 hidden="1">
      <c r="A33" s="98" t="s">
        <v>131</v>
      </c>
      <c r="B33" s="99" t="s">
        <v>105</v>
      </c>
      <c r="C33" s="100">
        <v>8167343</v>
      </c>
      <c r="D33" s="101" t="s">
        <v>160</v>
      </c>
      <c r="E33" s="101" t="s">
        <v>161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130</v>
      </c>
      <c r="B34" s="99" t="s">
        <v>105</v>
      </c>
      <c r="C34" s="100">
        <v>7871961</v>
      </c>
      <c r="D34" s="101" t="s">
        <v>160</v>
      </c>
      <c r="E34" s="101" t="s">
        <v>161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 hidden="1">
      <c r="A35" s="98" t="s">
        <v>134</v>
      </c>
      <c r="B35" s="99" t="s">
        <v>105</v>
      </c>
      <c r="C35" s="100">
        <v>7826876</v>
      </c>
      <c r="D35" s="101" t="s">
        <v>160</v>
      </c>
      <c r="E35" s="101" t="s">
        <v>161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>
      <c r="A36" s="98" t="s">
        <v>59</v>
      </c>
      <c r="B36" s="99" t="s">
        <v>105</v>
      </c>
      <c r="C36" s="100">
        <v>7518513</v>
      </c>
      <c r="D36" s="101" t="s">
        <v>160</v>
      </c>
      <c r="E36" s="101" t="s">
        <v>161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 hidden="1">
      <c r="A37" s="98" t="s">
        <v>133</v>
      </c>
      <c r="B37" s="99" t="s">
        <v>105</v>
      </c>
      <c r="C37" s="100">
        <v>7515816</v>
      </c>
      <c r="D37" s="101" t="s">
        <v>160</v>
      </c>
      <c r="E37" s="101" t="s">
        <v>161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>
      <c r="A38" s="98" t="s">
        <v>61</v>
      </c>
      <c r="B38" s="99" t="s">
        <v>105</v>
      </c>
      <c r="C38" s="100">
        <v>7331218</v>
      </c>
      <c r="D38" s="101" t="s">
        <v>160</v>
      </c>
      <c r="E38" s="101" t="s">
        <v>161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>
      <c r="A39" s="98" t="s">
        <v>57</v>
      </c>
      <c r="B39" s="99" t="s">
        <v>105</v>
      </c>
      <c r="C39" s="100">
        <v>7261418</v>
      </c>
      <c r="D39" s="101" t="s">
        <v>160</v>
      </c>
      <c r="E39" s="101" t="s">
        <v>161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>
      <c r="A40" s="98" t="s">
        <v>62</v>
      </c>
      <c r="B40" s="99" t="s">
        <v>105</v>
      </c>
      <c r="C40" s="100">
        <v>6814605</v>
      </c>
      <c r="D40" s="101" t="s">
        <v>160</v>
      </c>
      <c r="E40" s="101" t="s">
        <v>161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 hidden="1">
      <c r="A41" s="98" t="s">
        <v>137</v>
      </c>
      <c r="B41" s="99" t="s">
        <v>105</v>
      </c>
      <c r="C41" s="100">
        <v>6806846</v>
      </c>
      <c r="D41" s="101" t="s">
        <v>160</v>
      </c>
      <c r="E41" s="101" t="s">
        <v>161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>
      <c r="A42" s="98" t="s">
        <v>58</v>
      </c>
      <c r="B42" s="99" t="s">
        <v>105</v>
      </c>
      <c r="C42" s="100">
        <v>6794728</v>
      </c>
      <c r="D42" s="101" t="s">
        <v>160</v>
      </c>
      <c r="E42" s="101" t="s">
        <v>161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 hidden="1">
      <c r="A43" s="98" t="s">
        <v>135</v>
      </c>
      <c r="B43" s="99" t="s">
        <v>105</v>
      </c>
      <c r="C43" s="100">
        <v>6592967</v>
      </c>
      <c r="D43" s="101" t="s">
        <v>160</v>
      </c>
      <c r="E43" s="101" t="s">
        <v>161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 hidden="1">
      <c r="A44" s="98" t="s">
        <v>146</v>
      </c>
      <c r="B44" s="99" t="s">
        <v>105</v>
      </c>
      <c r="C44" s="100">
        <v>6422072</v>
      </c>
      <c r="D44" s="101" t="s">
        <v>160</v>
      </c>
      <c r="E44" s="101" t="s">
        <v>161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 hidden="1">
      <c r="A45" s="98" t="s">
        <v>140</v>
      </c>
      <c r="B45" s="99" t="s">
        <v>105</v>
      </c>
      <c r="C45" s="100">
        <v>6354879</v>
      </c>
      <c r="D45" s="101" t="s">
        <v>160</v>
      </c>
      <c r="E45" s="101" t="s">
        <v>161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>
      <c r="A46" s="98" t="s">
        <v>63</v>
      </c>
      <c r="B46" s="99" t="s">
        <v>105</v>
      </c>
      <c r="C46" s="100">
        <v>6097945</v>
      </c>
      <c r="D46" s="101" t="s">
        <v>160</v>
      </c>
      <c r="E46" s="101" t="s">
        <v>161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143</v>
      </c>
      <c r="B47" s="99" t="s">
        <v>105</v>
      </c>
      <c r="C47" s="100">
        <v>5684569</v>
      </c>
      <c r="D47" s="101" t="s">
        <v>160</v>
      </c>
      <c r="E47" s="101" t="s">
        <v>161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 hidden="1">
      <c r="A48" s="98" t="s">
        <v>148</v>
      </c>
      <c r="B48" s="99" t="s">
        <v>105</v>
      </c>
      <c r="C48" s="100">
        <v>5637483</v>
      </c>
      <c r="D48" s="101" t="s">
        <v>160</v>
      </c>
      <c r="E48" s="101" t="s">
        <v>161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 hidden="1">
      <c r="A49" s="98" t="s">
        <v>142</v>
      </c>
      <c r="B49" s="99" t="s">
        <v>105</v>
      </c>
      <c r="C49" s="100">
        <v>5607102</v>
      </c>
      <c r="D49" s="101" t="s">
        <v>160</v>
      </c>
      <c r="E49" s="101" t="s">
        <v>161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 hidden="1">
      <c r="A50" s="98" t="s">
        <v>138</v>
      </c>
      <c r="B50" s="99" t="s">
        <v>105</v>
      </c>
      <c r="C50" s="100">
        <v>5570349</v>
      </c>
      <c r="D50" s="101" t="s">
        <v>160</v>
      </c>
      <c r="E50" s="101" t="s">
        <v>161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 hidden="1">
      <c r="A51" s="98" t="s">
        <v>139</v>
      </c>
      <c r="B51" s="99" t="s">
        <v>105</v>
      </c>
      <c r="C51" s="100">
        <v>5464292</v>
      </c>
      <c r="D51" s="101" t="s">
        <v>160</v>
      </c>
      <c r="E51" s="101" t="s">
        <v>161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 hidden="1">
      <c r="A52" s="98" t="s">
        <v>141</v>
      </c>
      <c r="B52" s="99" t="s">
        <v>105</v>
      </c>
      <c r="C52" s="100">
        <v>5455579</v>
      </c>
      <c r="D52" s="101" t="s">
        <v>160</v>
      </c>
      <c r="E52" s="101" t="s">
        <v>161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>
      <c r="A53" s="98" t="s">
        <v>65</v>
      </c>
      <c r="B53" s="99" t="s">
        <v>105</v>
      </c>
      <c r="C53" s="100">
        <v>5221887</v>
      </c>
      <c r="D53" s="101" t="s">
        <v>160</v>
      </c>
      <c r="E53" s="101" t="s">
        <v>161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 hidden="1">
      <c r="A54" s="98" t="s">
        <v>144</v>
      </c>
      <c r="B54" s="99" t="s">
        <v>105</v>
      </c>
      <c r="C54" s="100">
        <v>4892318</v>
      </c>
      <c r="D54" s="101" t="s">
        <v>160</v>
      </c>
      <c r="E54" s="101" t="s">
        <v>161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>
      <c r="A55" s="98" t="s">
        <v>64</v>
      </c>
      <c r="B55" s="99" t="s">
        <v>105</v>
      </c>
      <c r="C55" s="100">
        <v>4880926</v>
      </c>
      <c r="D55" s="101" t="s">
        <v>160</v>
      </c>
      <c r="E55" s="101" t="s">
        <v>161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>
      <c r="A56" s="98" t="s">
        <v>66</v>
      </c>
      <c r="B56" s="99" t="s">
        <v>105</v>
      </c>
      <c r="C56" s="100">
        <v>4288419</v>
      </c>
      <c r="D56" s="101" t="s">
        <v>160</v>
      </c>
      <c r="E56" s="101" t="s">
        <v>161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>
      <c r="A57" s="98" t="s">
        <v>70</v>
      </c>
      <c r="B57" s="99" t="s">
        <v>105</v>
      </c>
      <c r="C57" s="100">
        <v>3631262</v>
      </c>
      <c r="D57" s="101" t="s">
        <v>160</v>
      </c>
      <c r="E57" s="101" t="s">
        <v>161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 hidden="1">
      <c r="A58" s="98" t="s">
        <v>150</v>
      </c>
      <c r="B58" s="99" t="s">
        <v>105</v>
      </c>
      <c r="C58" s="100">
        <v>3317114</v>
      </c>
      <c r="D58" s="101" t="s">
        <v>160</v>
      </c>
      <c r="E58" s="101" t="s">
        <v>161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>
      <c r="A59" s="98" t="s">
        <v>67</v>
      </c>
      <c r="B59" s="99" t="s">
        <v>105</v>
      </c>
      <c r="C59" s="100">
        <v>3143538</v>
      </c>
      <c r="D59" s="101" t="s">
        <v>160</v>
      </c>
      <c r="E59" s="101" t="s">
        <v>161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>
      <c r="A60" s="98" t="s">
        <v>68</v>
      </c>
      <c r="B60" s="99" t="s">
        <v>105</v>
      </c>
      <c r="C60" s="100">
        <v>2925333</v>
      </c>
      <c r="D60" s="101" t="s">
        <v>160</v>
      </c>
      <c r="E60" s="101" t="s">
        <v>161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 hidden="1">
      <c r="A61" s="98" t="s">
        <v>147</v>
      </c>
      <c r="B61" s="99" t="s">
        <v>105</v>
      </c>
      <c r="C61" s="100">
        <v>2862205</v>
      </c>
      <c r="D61" s="101" t="s">
        <v>160</v>
      </c>
      <c r="E61" s="101" t="s">
        <v>161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>
      <c r="A62" s="98" t="s">
        <v>69</v>
      </c>
      <c r="B62" s="99" t="s">
        <v>105</v>
      </c>
      <c r="C62" s="100">
        <v>2633505</v>
      </c>
      <c r="D62" s="101" t="s">
        <v>160</v>
      </c>
      <c r="E62" s="101" t="s">
        <v>161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 hidden="1">
      <c r="A63" s="98" t="s">
        <v>149</v>
      </c>
      <c r="B63" s="99" t="s">
        <v>105</v>
      </c>
      <c r="C63" s="100">
        <v>2414052</v>
      </c>
      <c r="D63" s="101" t="s">
        <v>160</v>
      </c>
      <c r="E63" s="101" t="s">
        <v>161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>
      <c r="A64" s="98" t="s">
        <v>71</v>
      </c>
      <c r="B64" s="99" t="s">
        <v>105</v>
      </c>
      <c r="C64" s="100">
        <v>1413054</v>
      </c>
      <c r="D64" s="101" t="s">
        <v>160</v>
      </c>
      <c r="E64" s="101" t="s">
        <v>161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 hidden="1">
      <c r="A65" s="98" t="s">
        <v>151</v>
      </c>
      <c r="B65" s="99" t="s">
        <v>105</v>
      </c>
      <c r="C65" s="100">
        <v>663584</v>
      </c>
      <c r="D65" s="101" t="s">
        <v>160</v>
      </c>
      <c r="E65" s="101" t="s">
        <v>161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160014</v>
      </c>
      <c r="D66" s="101" t="s">
        <v>160</v>
      </c>
      <c r="E66" s="101" t="s">
        <v>161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8" t="s">
        <v>162</v>
      </c>
      <c r="B67" s="99" t="s">
        <v>105</v>
      </c>
      <c r="C67" s="100">
        <v>26623</v>
      </c>
      <c r="D67" s="101" t="s">
        <v>160</v>
      </c>
      <c r="E67" s="101" t="s">
        <v>161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8" t="s">
        <v>163</v>
      </c>
      <c r="B68" s="99" t="s">
        <v>105</v>
      </c>
      <c r="C68" s="100">
        <v>26168</v>
      </c>
      <c r="D68" s="101" t="s">
        <v>160</v>
      </c>
      <c r="E68" s="101" t="s">
        <v>161</v>
      </c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 hidden="1">
      <c r="A69" s="98" t="s">
        <v>164</v>
      </c>
      <c r="B69" s="99" t="s">
        <v>105</v>
      </c>
      <c r="C69" s="100">
        <v>24570</v>
      </c>
      <c r="D69" s="101" t="s">
        <v>160</v>
      </c>
      <c r="E69" s="101" t="s">
        <v>161</v>
      </c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 hidden="1">
      <c r="A70" s="98" t="s">
        <v>165</v>
      </c>
      <c r="B70" s="99" t="s">
        <v>105</v>
      </c>
      <c r="C70" s="100">
        <v>12231</v>
      </c>
      <c r="D70" s="101" t="s">
        <v>160</v>
      </c>
      <c r="E70" s="101" t="s">
        <v>161</v>
      </c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8" t="s">
        <v>166</v>
      </c>
      <c r="B71" s="99" t="s">
        <v>105</v>
      </c>
      <c r="C71" s="100">
        <v>11748</v>
      </c>
      <c r="D71" s="101" t="s">
        <v>160</v>
      </c>
      <c r="E71" s="101" t="s">
        <v>161</v>
      </c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8" t="s">
        <v>167</v>
      </c>
      <c r="B72" s="99" t="s">
        <v>105</v>
      </c>
      <c r="C72" s="100">
        <v>11293</v>
      </c>
      <c r="D72" s="101" t="s">
        <v>160</v>
      </c>
      <c r="E72" s="101" t="s">
        <v>161</v>
      </c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 hidden="1">
      <c r="A73" s="98" t="s">
        <v>168</v>
      </c>
      <c r="B73" s="99" t="s">
        <v>105</v>
      </c>
      <c r="C73" s="100">
        <v>10704</v>
      </c>
      <c r="D73" s="101" t="s">
        <v>160</v>
      </c>
      <c r="E73" s="101" t="s">
        <v>161</v>
      </c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 hidden="1">
      <c r="A74" s="98" t="s">
        <v>169</v>
      </c>
      <c r="B74" s="99" t="s">
        <v>105</v>
      </c>
      <c r="C74" s="100">
        <v>10244</v>
      </c>
      <c r="D74" s="101" t="s">
        <v>160</v>
      </c>
      <c r="E74" s="101" t="s">
        <v>161</v>
      </c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8" t="s">
        <v>170</v>
      </c>
      <c r="B75" s="99" t="s">
        <v>105</v>
      </c>
      <c r="C75" s="100">
        <v>9465</v>
      </c>
      <c r="D75" s="101" t="s">
        <v>160</v>
      </c>
      <c r="E75" s="101" t="s">
        <v>161</v>
      </c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8" t="s">
        <v>171</v>
      </c>
      <c r="B76" s="99" t="s">
        <v>105</v>
      </c>
      <c r="C76" s="100">
        <v>8935</v>
      </c>
      <c r="D76" s="101" t="s">
        <v>160</v>
      </c>
      <c r="E76" s="101" t="s">
        <v>161</v>
      </c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 hidden="1">
      <c r="A77" s="98" t="s">
        <v>172</v>
      </c>
      <c r="B77" s="99" t="s">
        <v>105</v>
      </c>
      <c r="C77" s="100">
        <v>8807</v>
      </c>
      <c r="D77" s="101" t="s">
        <v>160</v>
      </c>
      <c r="E77" s="101" t="s">
        <v>161</v>
      </c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8" t="s">
        <v>173</v>
      </c>
      <c r="B78" s="99" t="s">
        <v>105</v>
      </c>
      <c r="C78" s="100">
        <v>7950</v>
      </c>
      <c r="D78" s="101" t="s">
        <v>160</v>
      </c>
      <c r="E78" s="101" t="s">
        <v>161</v>
      </c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 hidden="1">
      <c r="A79" s="98" t="s">
        <v>174</v>
      </c>
      <c r="B79" s="99" t="s">
        <v>105</v>
      </c>
      <c r="C79" s="100">
        <v>7027</v>
      </c>
      <c r="D79" s="101" t="s">
        <v>160</v>
      </c>
      <c r="E79" s="101" t="s">
        <v>161</v>
      </c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8" t="s">
        <v>175</v>
      </c>
      <c r="B80" s="99" t="s">
        <v>105</v>
      </c>
      <c r="C80" s="100">
        <v>5975</v>
      </c>
      <c r="D80" s="101" t="s">
        <v>160</v>
      </c>
      <c r="E80" s="101" t="s">
        <v>161</v>
      </c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8" t="s">
        <v>176</v>
      </c>
      <c r="B81" s="99" t="s">
        <v>105</v>
      </c>
      <c r="C81" s="100">
        <v>3808</v>
      </c>
      <c r="D81" s="101" t="s">
        <v>160</v>
      </c>
      <c r="E81" s="101" t="s">
        <v>161</v>
      </c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 hidden="1">
      <c r="A82" s="98" t="s">
        <v>177</v>
      </c>
      <c r="B82" s="99" t="s">
        <v>105</v>
      </c>
      <c r="C82" s="100">
        <v>3433</v>
      </c>
      <c r="D82" s="101" t="s">
        <v>160</v>
      </c>
      <c r="E82" s="101" t="s">
        <v>161</v>
      </c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 hidden="1">
      <c r="A83" s="98" t="s">
        <v>178</v>
      </c>
      <c r="B83" s="99" t="s">
        <v>105</v>
      </c>
      <c r="C83" s="100">
        <v>3376</v>
      </c>
      <c r="D83" s="101" t="s">
        <v>160</v>
      </c>
      <c r="E83" s="101" t="s">
        <v>161</v>
      </c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 hidden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 hidden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 hidden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 hidden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 hidden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 hidden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 hidden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 hidden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 hidden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 hidden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 hidden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 hidden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 hidden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 hidden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 hidden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 hidden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 hidden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 hidden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 hidden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 hidden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 hidden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 hidden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 hidden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Z1000" xr:uid="{00000000-0009-0000-0000-000009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Z1066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590471797</v>
      </c>
      <c r="D2" s="101" t="s">
        <v>179</v>
      </c>
      <c r="E2" s="101" t="s">
        <v>180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175259087</v>
      </c>
      <c r="D3" s="101" t="s">
        <v>179</v>
      </c>
      <c r="E3" s="101" t="s">
        <v>180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103037878</v>
      </c>
      <c r="D4" s="101" t="s">
        <v>179</v>
      </c>
      <c r="E4" s="101" t="s">
        <v>180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20956073</v>
      </c>
      <c r="D5" s="101" t="s">
        <v>179</v>
      </c>
      <c r="E5" s="101" t="s">
        <v>180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>
      <c r="A6" s="98" t="s">
        <v>54</v>
      </c>
      <c r="B6" s="99" t="s">
        <v>105</v>
      </c>
      <c r="C6" s="100">
        <v>13373568</v>
      </c>
      <c r="D6" s="101" t="s">
        <v>179</v>
      </c>
      <c r="E6" s="101" t="s">
        <v>180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 hidden="1">
      <c r="A7" s="98" t="s">
        <v>110</v>
      </c>
      <c r="B7" s="99" t="s">
        <v>105</v>
      </c>
      <c r="C7" s="100">
        <v>12812833</v>
      </c>
      <c r="D7" s="101" t="s">
        <v>179</v>
      </c>
      <c r="E7" s="101" t="s">
        <v>180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 hidden="1">
      <c r="A8" s="98" t="s">
        <v>111</v>
      </c>
      <c r="B8" s="99" t="s">
        <v>105</v>
      </c>
      <c r="C8" s="100">
        <v>11924168</v>
      </c>
      <c r="D8" s="101" t="s">
        <v>179</v>
      </c>
      <c r="E8" s="101" t="s">
        <v>180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112</v>
      </c>
      <c r="B9" s="99" t="s">
        <v>105</v>
      </c>
      <c r="C9" s="100">
        <v>11902855</v>
      </c>
      <c r="D9" s="101" t="s">
        <v>179</v>
      </c>
      <c r="E9" s="101" t="s">
        <v>180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115</v>
      </c>
      <c r="B10" s="99" t="s">
        <v>105</v>
      </c>
      <c r="C10" s="100">
        <v>10745814</v>
      </c>
      <c r="D10" s="101" t="s">
        <v>179</v>
      </c>
      <c r="E10" s="101" t="s">
        <v>180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 hidden="1">
      <c r="A11" s="98" t="s">
        <v>114</v>
      </c>
      <c r="B11" s="99" t="s">
        <v>105</v>
      </c>
      <c r="C11" s="100">
        <v>10467220</v>
      </c>
      <c r="D11" s="101" t="s">
        <v>179</v>
      </c>
      <c r="E11" s="101" t="s">
        <v>180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 hidden="1">
      <c r="A12" s="98" t="s">
        <v>113</v>
      </c>
      <c r="B12" s="99" t="s">
        <v>105</v>
      </c>
      <c r="C12" s="100">
        <v>10230742</v>
      </c>
      <c r="D12" s="101" t="s">
        <v>179</v>
      </c>
      <c r="E12" s="101" t="s">
        <v>180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>
      <c r="A13" s="98" t="s">
        <v>55</v>
      </c>
      <c r="B13" s="99" t="s">
        <v>105</v>
      </c>
      <c r="C13" s="100">
        <v>9390170</v>
      </c>
      <c r="D13" s="101" t="s">
        <v>179</v>
      </c>
      <c r="E13" s="101" t="s">
        <v>180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 hidden="1">
      <c r="A14" s="98" t="s">
        <v>121</v>
      </c>
      <c r="B14" s="99" t="s">
        <v>105</v>
      </c>
      <c r="C14" s="100">
        <v>8784186</v>
      </c>
      <c r="D14" s="101" t="s">
        <v>179</v>
      </c>
      <c r="E14" s="101" t="s">
        <v>180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>
      <c r="A15" s="98" t="s">
        <v>56</v>
      </c>
      <c r="B15" s="99" t="s">
        <v>105</v>
      </c>
      <c r="C15" s="100">
        <v>8159987</v>
      </c>
      <c r="D15" s="101" t="s">
        <v>179</v>
      </c>
      <c r="E15" s="101" t="s">
        <v>180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117</v>
      </c>
      <c r="B16" s="99" t="s">
        <v>105</v>
      </c>
      <c r="C16" s="100">
        <v>7765119</v>
      </c>
      <c r="D16" s="101" t="s">
        <v>179</v>
      </c>
      <c r="E16" s="101" t="s">
        <v>180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122</v>
      </c>
      <c r="B17" s="99" t="s">
        <v>105</v>
      </c>
      <c r="C17" s="100">
        <v>7348722</v>
      </c>
      <c r="D17" s="101" t="s">
        <v>179</v>
      </c>
      <c r="E17" s="101" t="s">
        <v>180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 hidden="1">
      <c r="A18" s="98" t="s">
        <v>120</v>
      </c>
      <c r="B18" s="99" t="s">
        <v>105</v>
      </c>
      <c r="C18" s="100">
        <v>7209915</v>
      </c>
      <c r="D18" s="101" t="s">
        <v>179</v>
      </c>
      <c r="E18" s="101" t="s">
        <v>180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124</v>
      </c>
      <c r="B19" s="99" t="s">
        <v>105</v>
      </c>
      <c r="C19" s="100">
        <v>7158092</v>
      </c>
      <c r="D19" s="101" t="s">
        <v>179</v>
      </c>
      <c r="E19" s="101" t="s">
        <v>180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127</v>
      </c>
      <c r="B20" s="99" t="s">
        <v>105</v>
      </c>
      <c r="C20" s="100">
        <v>7032713</v>
      </c>
      <c r="D20" s="101" t="s">
        <v>179</v>
      </c>
      <c r="E20" s="101" t="s">
        <v>180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116</v>
      </c>
      <c r="B21" s="99" t="s">
        <v>105</v>
      </c>
      <c r="C21" s="100">
        <v>6881235</v>
      </c>
      <c r="D21" s="101" t="s">
        <v>179</v>
      </c>
      <c r="E21" s="101" t="s">
        <v>180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118</v>
      </c>
      <c r="B22" s="99" t="s">
        <v>105</v>
      </c>
      <c r="C22" s="100">
        <v>6769681</v>
      </c>
      <c r="D22" s="101" t="s">
        <v>179</v>
      </c>
      <c r="E22" s="101" t="s">
        <v>180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119</v>
      </c>
      <c r="B23" s="99" t="s">
        <v>105</v>
      </c>
      <c r="C23" s="100">
        <v>6600181</v>
      </c>
      <c r="D23" s="101" t="s">
        <v>179</v>
      </c>
      <c r="E23" s="101" t="s">
        <v>180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126</v>
      </c>
      <c r="B24" s="99" t="s">
        <v>105</v>
      </c>
      <c r="C24" s="100">
        <v>6103392</v>
      </c>
      <c r="D24" s="101" t="s">
        <v>179</v>
      </c>
      <c r="E24" s="101" t="s">
        <v>180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128</v>
      </c>
      <c r="B25" s="99" t="s">
        <v>105</v>
      </c>
      <c r="C25" s="100">
        <v>6083500</v>
      </c>
      <c r="D25" s="101" t="s">
        <v>179</v>
      </c>
      <c r="E25" s="101" t="s">
        <v>180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125</v>
      </c>
      <c r="B26" s="99" t="s">
        <v>105</v>
      </c>
      <c r="C26" s="100">
        <v>5402004</v>
      </c>
      <c r="D26" s="101" t="s">
        <v>179</v>
      </c>
      <c r="E26" s="101" t="s">
        <v>180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131</v>
      </c>
      <c r="B27" s="99" t="s">
        <v>105</v>
      </c>
      <c r="C27" s="100">
        <v>4397809</v>
      </c>
      <c r="D27" s="101" t="s">
        <v>179</v>
      </c>
      <c r="E27" s="101" t="s">
        <v>180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130</v>
      </c>
      <c r="B28" s="99" t="s">
        <v>105</v>
      </c>
      <c r="C28" s="100">
        <v>4237326</v>
      </c>
      <c r="D28" s="101" t="s">
        <v>179</v>
      </c>
      <c r="E28" s="101" t="s">
        <v>180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>
      <c r="A29" s="98" t="s">
        <v>57</v>
      </c>
      <c r="B29" s="99" t="s">
        <v>105</v>
      </c>
      <c r="C29" s="100">
        <v>4229077</v>
      </c>
      <c r="D29" s="101" t="s">
        <v>179</v>
      </c>
      <c r="E29" s="101" t="s">
        <v>180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 hidden="1">
      <c r="A30" s="98" t="s">
        <v>123</v>
      </c>
      <c r="B30" s="99" t="s">
        <v>105</v>
      </c>
      <c r="C30" s="100">
        <v>4145721</v>
      </c>
      <c r="D30" s="101" t="s">
        <v>179</v>
      </c>
      <c r="E30" s="101" t="s">
        <v>180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 hidden="1">
      <c r="A31" s="98" t="s">
        <v>129</v>
      </c>
      <c r="B31" s="99" t="s">
        <v>105</v>
      </c>
      <c r="C31" s="100">
        <v>4000139</v>
      </c>
      <c r="D31" s="101" t="s">
        <v>179</v>
      </c>
      <c r="E31" s="101" t="s">
        <v>180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>
      <c r="A32" s="98" t="s">
        <v>60</v>
      </c>
      <c r="B32" s="99" t="s">
        <v>105</v>
      </c>
      <c r="C32" s="100">
        <v>3986412</v>
      </c>
      <c r="D32" s="101" t="s">
        <v>179</v>
      </c>
      <c r="E32" s="101" t="s">
        <v>180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 hidden="1">
      <c r="A33" s="98" t="s">
        <v>136</v>
      </c>
      <c r="B33" s="99" t="s">
        <v>105</v>
      </c>
      <c r="C33" s="100">
        <v>3939890</v>
      </c>
      <c r="D33" s="101" t="s">
        <v>179</v>
      </c>
      <c r="E33" s="101" t="s">
        <v>180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132</v>
      </c>
      <c r="B34" s="99" t="s">
        <v>105</v>
      </c>
      <c r="C34" s="100">
        <v>3756961</v>
      </c>
      <c r="D34" s="101" t="s">
        <v>179</v>
      </c>
      <c r="E34" s="101" t="s">
        <v>180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 hidden="1">
      <c r="A35" s="98" t="s">
        <v>135</v>
      </c>
      <c r="B35" s="99" t="s">
        <v>105</v>
      </c>
      <c r="C35" s="100">
        <v>3640000</v>
      </c>
      <c r="D35" s="101" t="s">
        <v>179</v>
      </c>
      <c r="E35" s="101" t="s">
        <v>180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>
      <c r="A36" s="98" t="s">
        <v>62</v>
      </c>
      <c r="B36" s="99" t="s">
        <v>105</v>
      </c>
      <c r="C36" s="100">
        <v>3625426</v>
      </c>
      <c r="D36" s="101" t="s">
        <v>179</v>
      </c>
      <c r="E36" s="101" t="s">
        <v>180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>
      <c r="A37" s="98" t="s">
        <v>59</v>
      </c>
      <c r="B37" s="99" t="s">
        <v>105</v>
      </c>
      <c r="C37" s="100">
        <v>3446017</v>
      </c>
      <c r="D37" s="101" t="s">
        <v>179</v>
      </c>
      <c r="E37" s="101" t="s">
        <v>180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 hidden="1">
      <c r="A38" s="98" t="s">
        <v>137</v>
      </c>
      <c r="B38" s="99" t="s">
        <v>105</v>
      </c>
      <c r="C38" s="100">
        <v>3433821</v>
      </c>
      <c r="D38" s="101" t="s">
        <v>179</v>
      </c>
      <c r="E38" s="101" t="s">
        <v>180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>
      <c r="A39" s="98" t="s">
        <v>61</v>
      </c>
      <c r="B39" s="99" t="s">
        <v>105</v>
      </c>
      <c r="C39" s="100">
        <v>3391762</v>
      </c>
      <c r="D39" s="101" t="s">
        <v>179</v>
      </c>
      <c r="E39" s="101" t="s">
        <v>180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 hidden="1">
      <c r="A40" s="98" t="s">
        <v>140</v>
      </c>
      <c r="B40" s="99" t="s">
        <v>105</v>
      </c>
      <c r="C40" s="100">
        <v>3381300</v>
      </c>
      <c r="D40" s="101" t="s">
        <v>179</v>
      </c>
      <c r="E40" s="101" t="s">
        <v>180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 hidden="1">
      <c r="A41" s="98" t="s">
        <v>133</v>
      </c>
      <c r="B41" s="99" t="s">
        <v>105</v>
      </c>
      <c r="C41" s="100">
        <v>3363181</v>
      </c>
      <c r="D41" s="101" t="s">
        <v>179</v>
      </c>
      <c r="E41" s="101" t="s">
        <v>180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>
      <c r="A42" s="98" t="s">
        <v>63</v>
      </c>
      <c r="B42" s="99" t="s">
        <v>105</v>
      </c>
      <c r="C42" s="100">
        <v>3302854</v>
      </c>
      <c r="D42" s="101" t="s">
        <v>179</v>
      </c>
      <c r="E42" s="101" t="s">
        <v>180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 hidden="1">
      <c r="A43" s="98" t="s">
        <v>142</v>
      </c>
      <c r="B43" s="99" t="s">
        <v>105</v>
      </c>
      <c r="C43" s="100">
        <v>3263901</v>
      </c>
      <c r="D43" s="101" t="s">
        <v>179</v>
      </c>
      <c r="E43" s="101" t="s">
        <v>180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 hidden="1">
      <c r="A44" s="98" t="s">
        <v>146</v>
      </c>
      <c r="B44" s="99" t="s">
        <v>105</v>
      </c>
      <c r="C44" s="100">
        <v>3225870</v>
      </c>
      <c r="D44" s="101" t="s">
        <v>179</v>
      </c>
      <c r="E44" s="101" t="s">
        <v>180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>
      <c r="A45" s="98" t="s">
        <v>58</v>
      </c>
      <c r="B45" s="99" t="s">
        <v>105</v>
      </c>
      <c r="C45" s="100">
        <v>3221813</v>
      </c>
      <c r="D45" s="101" t="s">
        <v>179</v>
      </c>
      <c r="E45" s="101" t="s">
        <v>180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 hidden="1">
      <c r="A46" s="98" t="s">
        <v>141</v>
      </c>
      <c r="B46" s="99" t="s">
        <v>105</v>
      </c>
      <c r="C46" s="100">
        <v>2915767</v>
      </c>
      <c r="D46" s="101" t="s">
        <v>179</v>
      </c>
      <c r="E46" s="101" t="s">
        <v>180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145</v>
      </c>
      <c r="B47" s="99" t="s">
        <v>105</v>
      </c>
      <c r="C47" s="100">
        <v>2867730</v>
      </c>
      <c r="D47" s="101" t="s">
        <v>179</v>
      </c>
      <c r="E47" s="101" t="s">
        <v>180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 hidden="1">
      <c r="A48" s="98" t="s">
        <v>139</v>
      </c>
      <c r="B48" s="99" t="s">
        <v>105</v>
      </c>
      <c r="C48" s="100">
        <v>2866381</v>
      </c>
      <c r="D48" s="101" t="s">
        <v>179</v>
      </c>
      <c r="E48" s="101" t="s">
        <v>180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 hidden="1">
      <c r="A49" s="98" t="s">
        <v>134</v>
      </c>
      <c r="B49" s="99" t="s">
        <v>105</v>
      </c>
      <c r="C49" s="100">
        <v>2839589</v>
      </c>
      <c r="D49" s="101" t="s">
        <v>179</v>
      </c>
      <c r="E49" s="101" t="s">
        <v>180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 hidden="1">
      <c r="A50" s="98" t="s">
        <v>148</v>
      </c>
      <c r="B50" s="99" t="s">
        <v>105</v>
      </c>
      <c r="C50" s="100">
        <v>2730362</v>
      </c>
      <c r="D50" s="101" t="s">
        <v>179</v>
      </c>
      <c r="E50" s="101" t="s">
        <v>180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 hidden="1">
      <c r="A51" s="98" t="s">
        <v>138</v>
      </c>
      <c r="B51" s="99" t="s">
        <v>105</v>
      </c>
      <c r="C51" s="100">
        <v>2708883</v>
      </c>
      <c r="D51" s="101" t="s">
        <v>179</v>
      </c>
      <c r="E51" s="101" t="s">
        <v>180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>
      <c r="A52" s="98" t="s">
        <v>64</v>
      </c>
      <c r="B52" s="99" t="s">
        <v>105</v>
      </c>
      <c r="C52" s="100">
        <v>2534761</v>
      </c>
      <c r="D52" s="101" t="s">
        <v>179</v>
      </c>
      <c r="E52" s="101" t="s">
        <v>180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 hidden="1">
      <c r="A53" s="98" t="s">
        <v>144</v>
      </c>
      <c r="B53" s="99" t="s">
        <v>105</v>
      </c>
      <c r="C53" s="100">
        <v>2521311</v>
      </c>
      <c r="D53" s="101" t="s">
        <v>179</v>
      </c>
      <c r="E53" s="101" t="s">
        <v>180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 hidden="1">
      <c r="A54" s="98" t="s">
        <v>143</v>
      </c>
      <c r="B54" s="99" t="s">
        <v>105</v>
      </c>
      <c r="C54" s="100">
        <v>2342912</v>
      </c>
      <c r="D54" s="101" t="s">
        <v>179</v>
      </c>
      <c r="E54" s="101" t="s">
        <v>180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>
      <c r="A55" s="98" t="s">
        <v>67</v>
      </c>
      <c r="B55" s="99" t="s">
        <v>105</v>
      </c>
      <c r="C55" s="100">
        <v>2194712</v>
      </c>
      <c r="D55" s="101" t="s">
        <v>179</v>
      </c>
      <c r="E55" s="101" t="s">
        <v>180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>
      <c r="A56" s="98" t="s">
        <v>65</v>
      </c>
      <c r="B56" s="99" t="s">
        <v>105</v>
      </c>
      <c r="C56" s="100">
        <v>2007735</v>
      </c>
      <c r="D56" s="101" t="s">
        <v>179</v>
      </c>
      <c r="E56" s="101" t="s">
        <v>180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>
      <c r="A57" s="98" t="s">
        <v>66</v>
      </c>
      <c r="B57" s="99" t="s">
        <v>105</v>
      </c>
      <c r="C57" s="100">
        <v>1986885</v>
      </c>
      <c r="D57" s="101" t="s">
        <v>179</v>
      </c>
      <c r="E57" s="101" t="s">
        <v>180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 hidden="1">
      <c r="A58" s="98" t="s">
        <v>147</v>
      </c>
      <c r="B58" s="99" t="s">
        <v>105</v>
      </c>
      <c r="C58" s="100">
        <v>1621736</v>
      </c>
      <c r="D58" s="101" t="s">
        <v>179</v>
      </c>
      <c r="E58" s="101" t="s">
        <v>180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>
      <c r="A59" s="98" t="s">
        <v>68</v>
      </c>
      <c r="B59" s="99" t="s">
        <v>105</v>
      </c>
      <c r="C59" s="100">
        <v>1322241</v>
      </c>
      <c r="D59" s="101" t="s">
        <v>179</v>
      </c>
      <c r="E59" s="101" t="s">
        <v>180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 hidden="1">
      <c r="A60" s="98" t="s">
        <v>150</v>
      </c>
      <c r="B60" s="99" t="s">
        <v>105</v>
      </c>
      <c r="C60" s="100">
        <v>1317225</v>
      </c>
      <c r="D60" s="101" t="s">
        <v>179</v>
      </c>
      <c r="E60" s="101" t="s">
        <v>180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>
      <c r="A61" s="98" t="s">
        <v>69</v>
      </c>
      <c r="B61" s="99" t="s">
        <v>105</v>
      </c>
      <c r="C61" s="100">
        <v>1225493</v>
      </c>
      <c r="D61" s="101" t="s">
        <v>179</v>
      </c>
      <c r="E61" s="101" t="s">
        <v>180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>
      <c r="A62" s="98" t="s">
        <v>70</v>
      </c>
      <c r="B62" s="99" t="s">
        <v>105</v>
      </c>
      <c r="C62" s="100">
        <v>1182453</v>
      </c>
      <c r="D62" s="101" t="s">
        <v>179</v>
      </c>
      <c r="E62" s="101" t="s">
        <v>180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 hidden="1">
      <c r="A63" s="98" t="s">
        <v>149</v>
      </c>
      <c r="B63" s="99" t="s">
        <v>105</v>
      </c>
      <c r="C63" s="100">
        <v>950019</v>
      </c>
      <c r="D63" s="101" t="s">
        <v>179</v>
      </c>
      <c r="E63" s="101" t="s">
        <v>180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>
      <c r="A64" s="98" t="s">
        <v>71</v>
      </c>
      <c r="B64" s="99" t="s">
        <v>105</v>
      </c>
      <c r="C64" s="100">
        <v>512889</v>
      </c>
      <c r="D64" s="101" t="s">
        <v>179</v>
      </c>
      <c r="E64" s="101" t="s">
        <v>180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 hidden="1">
      <c r="A65" s="98" t="s">
        <v>151</v>
      </c>
      <c r="B65" s="99" t="s">
        <v>105</v>
      </c>
      <c r="C65" s="100">
        <v>293057</v>
      </c>
      <c r="D65" s="101" t="s">
        <v>179</v>
      </c>
      <c r="E65" s="101" t="s">
        <v>180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141240</v>
      </c>
      <c r="D66" s="101" t="s">
        <v>179</v>
      </c>
      <c r="E66" s="101" t="s">
        <v>180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8" t="s">
        <v>153</v>
      </c>
      <c r="B67" s="99" t="s">
        <v>105</v>
      </c>
      <c r="C67" s="100">
        <v>1</v>
      </c>
      <c r="D67" s="101" t="s">
        <v>179</v>
      </c>
      <c r="E67" s="101" t="s">
        <v>180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8" t="s">
        <v>104</v>
      </c>
      <c r="B68" s="99" t="s">
        <v>105</v>
      </c>
      <c r="C68" s="100">
        <v>190237525</v>
      </c>
      <c r="D68" s="101" t="s">
        <v>179</v>
      </c>
      <c r="E68" s="101" t="s">
        <v>180</v>
      </c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 hidden="1">
      <c r="A69" s="98" t="s">
        <v>108</v>
      </c>
      <c r="B69" s="99" t="s">
        <v>105</v>
      </c>
      <c r="C69" s="100">
        <v>50986899</v>
      </c>
      <c r="D69" s="101" t="s">
        <v>179</v>
      </c>
      <c r="E69" s="101" t="s">
        <v>180</v>
      </c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>
      <c r="A70" s="98" t="s">
        <v>53</v>
      </c>
      <c r="B70" s="99" t="s">
        <v>105</v>
      </c>
      <c r="C70" s="100">
        <v>25270072</v>
      </c>
      <c r="D70" s="101" t="s">
        <v>179</v>
      </c>
      <c r="E70" s="101" t="s">
        <v>180</v>
      </c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8" t="s">
        <v>109</v>
      </c>
      <c r="B71" s="99" t="s">
        <v>105</v>
      </c>
      <c r="C71" s="100">
        <v>7810870</v>
      </c>
      <c r="D71" s="101" t="s">
        <v>179</v>
      </c>
      <c r="E71" s="101" t="s">
        <v>180</v>
      </c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8" t="s">
        <v>111</v>
      </c>
      <c r="B72" s="99" t="s">
        <v>105</v>
      </c>
      <c r="C72" s="100">
        <v>4659805</v>
      </c>
      <c r="D72" s="101" t="s">
        <v>179</v>
      </c>
      <c r="E72" s="101" t="s">
        <v>180</v>
      </c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 hidden="1">
      <c r="A73" s="98" t="s">
        <v>110</v>
      </c>
      <c r="B73" s="99" t="s">
        <v>105</v>
      </c>
      <c r="C73" s="100">
        <v>4631780</v>
      </c>
      <c r="D73" s="101" t="s">
        <v>179</v>
      </c>
      <c r="E73" s="101" t="s">
        <v>180</v>
      </c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>
      <c r="A74" s="98" t="s">
        <v>54</v>
      </c>
      <c r="B74" s="99" t="s">
        <v>105</v>
      </c>
      <c r="C74" s="100">
        <v>4030901</v>
      </c>
      <c r="D74" s="101" t="s">
        <v>179</v>
      </c>
      <c r="E74" s="101" t="s">
        <v>180</v>
      </c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8" t="s">
        <v>112</v>
      </c>
      <c r="B75" s="99" t="s">
        <v>105</v>
      </c>
      <c r="C75" s="100">
        <v>3883084</v>
      </c>
      <c r="D75" s="101" t="s">
        <v>179</v>
      </c>
      <c r="E75" s="101" t="s">
        <v>180</v>
      </c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8" t="s">
        <v>113</v>
      </c>
      <c r="B76" s="99" t="s">
        <v>105</v>
      </c>
      <c r="C76" s="100">
        <v>3717778</v>
      </c>
      <c r="D76" s="101" t="s">
        <v>179</v>
      </c>
      <c r="E76" s="101" t="s">
        <v>180</v>
      </c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 hidden="1">
      <c r="A77" s="98" t="s">
        <v>114</v>
      </c>
      <c r="B77" s="99" t="s">
        <v>105</v>
      </c>
      <c r="C77" s="100">
        <v>3674383</v>
      </c>
      <c r="D77" s="101" t="s">
        <v>179</v>
      </c>
      <c r="E77" s="101" t="s">
        <v>180</v>
      </c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8" t="s">
        <v>115</v>
      </c>
      <c r="B78" s="99" t="s">
        <v>105</v>
      </c>
      <c r="C78" s="100">
        <v>3670490</v>
      </c>
      <c r="D78" s="101" t="s">
        <v>179</v>
      </c>
      <c r="E78" s="101" t="s">
        <v>180</v>
      </c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>
      <c r="A79" s="98" t="s">
        <v>55</v>
      </c>
      <c r="B79" s="99" t="s">
        <v>105</v>
      </c>
      <c r="C79" s="100">
        <v>3238009</v>
      </c>
      <c r="D79" s="101" t="s">
        <v>179</v>
      </c>
      <c r="E79" s="101" t="s">
        <v>180</v>
      </c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8" t="s">
        <v>121</v>
      </c>
      <c r="B80" s="99" t="s">
        <v>105</v>
      </c>
      <c r="C80" s="100">
        <v>3010899</v>
      </c>
      <c r="D80" s="101" t="s">
        <v>179</v>
      </c>
      <c r="E80" s="101" t="s">
        <v>180</v>
      </c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8" t="s">
        <v>120</v>
      </c>
      <c r="B81" s="99" t="s">
        <v>105</v>
      </c>
      <c r="C81" s="100">
        <v>2925191</v>
      </c>
      <c r="D81" s="101" t="s">
        <v>179</v>
      </c>
      <c r="E81" s="101" t="s">
        <v>180</v>
      </c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>
      <c r="A82" s="98" t="s">
        <v>56</v>
      </c>
      <c r="B82" s="99" t="s">
        <v>105</v>
      </c>
      <c r="C82" s="100">
        <v>2905246</v>
      </c>
      <c r="D82" s="101" t="s">
        <v>179</v>
      </c>
      <c r="E82" s="101" t="s">
        <v>180</v>
      </c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 hidden="1">
      <c r="A83" s="98" t="s">
        <v>122</v>
      </c>
      <c r="B83" s="99" t="s">
        <v>105</v>
      </c>
      <c r="C83" s="100">
        <v>2875133</v>
      </c>
      <c r="D83" s="101" t="s">
        <v>179</v>
      </c>
      <c r="E83" s="101" t="s">
        <v>180</v>
      </c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8" t="s">
        <v>118</v>
      </c>
      <c r="B84" s="99" t="s">
        <v>105</v>
      </c>
      <c r="C84" s="100">
        <v>2644626</v>
      </c>
      <c r="D84" s="101" t="s">
        <v>179</v>
      </c>
      <c r="E84" s="101" t="s">
        <v>180</v>
      </c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8" t="s">
        <v>117</v>
      </c>
      <c r="B85" s="99" t="s">
        <v>105</v>
      </c>
      <c r="C85" s="100">
        <v>2627349</v>
      </c>
      <c r="D85" s="101" t="s">
        <v>179</v>
      </c>
      <c r="E85" s="101" t="s">
        <v>180</v>
      </c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8" t="s">
        <v>127</v>
      </c>
      <c r="B86" s="99" t="s">
        <v>105</v>
      </c>
      <c r="C86" s="100">
        <v>2559701</v>
      </c>
      <c r="D86" s="101" t="s">
        <v>179</v>
      </c>
      <c r="E86" s="101" t="s">
        <v>180</v>
      </c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8" t="s">
        <v>124</v>
      </c>
      <c r="B87" s="99" t="s">
        <v>105</v>
      </c>
      <c r="C87" s="100">
        <v>2465860</v>
      </c>
      <c r="D87" s="101" t="s">
        <v>179</v>
      </c>
      <c r="E87" s="101" t="s">
        <v>180</v>
      </c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8" t="s">
        <v>116</v>
      </c>
      <c r="B88" s="99" t="s">
        <v>105</v>
      </c>
      <c r="C88" s="100">
        <v>2403680</v>
      </c>
      <c r="D88" s="101" t="s">
        <v>179</v>
      </c>
      <c r="E88" s="101" t="s">
        <v>180</v>
      </c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8" t="s">
        <v>128</v>
      </c>
      <c r="B89" s="99" t="s">
        <v>105</v>
      </c>
      <c r="C89" s="100">
        <v>2369956</v>
      </c>
      <c r="D89" s="101" t="s">
        <v>179</v>
      </c>
      <c r="E89" s="101" t="s">
        <v>180</v>
      </c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8" t="s">
        <v>126</v>
      </c>
      <c r="B90" s="99" t="s">
        <v>105</v>
      </c>
      <c r="C90" s="100">
        <v>2355048</v>
      </c>
      <c r="D90" s="101" t="s">
        <v>179</v>
      </c>
      <c r="E90" s="101" t="s">
        <v>180</v>
      </c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8" t="s">
        <v>119</v>
      </c>
      <c r="B91" s="99" t="s">
        <v>105</v>
      </c>
      <c r="C91" s="100">
        <v>2344336</v>
      </c>
      <c r="D91" s="101" t="s">
        <v>179</v>
      </c>
      <c r="E91" s="101" t="s">
        <v>180</v>
      </c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8" t="s">
        <v>125</v>
      </c>
      <c r="B92" s="99" t="s">
        <v>105</v>
      </c>
      <c r="C92" s="100">
        <v>1965731</v>
      </c>
      <c r="D92" s="101" t="s">
        <v>179</v>
      </c>
      <c r="E92" s="101" t="s">
        <v>180</v>
      </c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8" t="s">
        <v>131</v>
      </c>
      <c r="B93" s="99" t="s">
        <v>105</v>
      </c>
      <c r="C93" s="100">
        <v>1923417</v>
      </c>
      <c r="D93" s="101" t="s">
        <v>179</v>
      </c>
      <c r="E93" s="101" t="s">
        <v>180</v>
      </c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8" t="s">
        <v>136</v>
      </c>
      <c r="B94" s="99" t="s">
        <v>105</v>
      </c>
      <c r="C94" s="100">
        <v>1714739</v>
      </c>
      <c r="D94" s="101" t="s">
        <v>179</v>
      </c>
      <c r="E94" s="101" t="s">
        <v>180</v>
      </c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8" t="s">
        <v>129</v>
      </c>
      <c r="B95" s="99" t="s">
        <v>105</v>
      </c>
      <c r="C95" s="100">
        <v>1573153</v>
      </c>
      <c r="D95" s="101" t="s">
        <v>179</v>
      </c>
      <c r="E95" s="101" t="s">
        <v>180</v>
      </c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8" t="s">
        <v>130</v>
      </c>
      <c r="B96" s="99" t="s">
        <v>105</v>
      </c>
      <c r="C96" s="100">
        <v>1569100</v>
      </c>
      <c r="D96" s="101" t="s">
        <v>179</v>
      </c>
      <c r="E96" s="101" t="s">
        <v>180</v>
      </c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 hidden="1">
      <c r="A97" s="98" t="s">
        <v>123</v>
      </c>
      <c r="B97" s="99" t="s">
        <v>105</v>
      </c>
      <c r="C97" s="100">
        <v>1540054</v>
      </c>
      <c r="D97" s="101" t="s">
        <v>179</v>
      </c>
      <c r="E97" s="101" t="s">
        <v>180</v>
      </c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8" t="s">
        <v>132</v>
      </c>
      <c r="B98" s="99" t="s">
        <v>105</v>
      </c>
      <c r="C98" s="100">
        <v>1497398</v>
      </c>
      <c r="D98" s="101" t="s">
        <v>179</v>
      </c>
      <c r="E98" s="101" t="s">
        <v>180</v>
      </c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8" t="s">
        <v>137</v>
      </c>
      <c r="B99" s="99" t="s">
        <v>105</v>
      </c>
      <c r="C99" s="100">
        <v>1489425</v>
      </c>
      <c r="D99" s="101" t="s">
        <v>179</v>
      </c>
      <c r="E99" s="101" t="s">
        <v>180</v>
      </c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>
      <c r="A100" s="98" t="s">
        <v>63</v>
      </c>
      <c r="B100" s="99" t="s">
        <v>105</v>
      </c>
      <c r="C100" s="100">
        <v>1420251</v>
      </c>
      <c r="D100" s="101" t="s">
        <v>179</v>
      </c>
      <c r="E100" s="101" t="s">
        <v>180</v>
      </c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>
      <c r="A101" s="98" t="s">
        <v>62</v>
      </c>
      <c r="B101" s="99" t="s">
        <v>105</v>
      </c>
      <c r="C101" s="100">
        <v>1327905</v>
      </c>
      <c r="D101" s="101" t="s">
        <v>179</v>
      </c>
      <c r="E101" s="101" t="s">
        <v>180</v>
      </c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8" t="s">
        <v>135</v>
      </c>
      <c r="B102" s="99" t="s">
        <v>105</v>
      </c>
      <c r="C102" s="100">
        <v>1285118</v>
      </c>
      <c r="D102" s="101" t="s">
        <v>179</v>
      </c>
      <c r="E102" s="101" t="s">
        <v>180</v>
      </c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>
      <c r="A103" s="98" t="s">
        <v>60</v>
      </c>
      <c r="B103" s="99" t="s">
        <v>105</v>
      </c>
      <c r="C103" s="100">
        <v>1282367</v>
      </c>
      <c r="D103" s="101" t="s">
        <v>179</v>
      </c>
      <c r="E103" s="101" t="s">
        <v>180</v>
      </c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 hidden="1">
      <c r="A104" s="98" t="s">
        <v>139</v>
      </c>
      <c r="B104" s="99" t="s">
        <v>105</v>
      </c>
      <c r="C104" s="100">
        <v>1276054</v>
      </c>
      <c r="D104" s="101" t="s">
        <v>179</v>
      </c>
      <c r="E104" s="101" t="s">
        <v>180</v>
      </c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8" t="s">
        <v>140</v>
      </c>
      <c r="B105" s="99" t="s">
        <v>105</v>
      </c>
      <c r="C105" s="100">
        <v>1262051</v>
      </c>
      <c r="D105" s="101" t="s">
        <v>179</v>
      </c>
      <c r="E105" s="101" t="s">
        <v>180</v>
      </c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 hidden="1">
      <c r="A106" s="98" t="s">
        <v>141</v>
      </c>
      <c r="B106" s="99" t="s">
        <v>105</v>
      </c>
      <c r="C106" s="100">
        <v>1204227</v>
      </c>
      <c r="D106" s="101" t="s">
        <v>179</v>
      </c>
      <c r="E106" s="101" t="s">
        <v>180</v>
      </c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8" t="s">
        <v>142</v>
      </c>
      <c r="B107" s="99" t="s">
        <v>105</v>
      </c>
      <c r="C107" s="100">
        <v>1202917</v>
      </c>
      <c r="D107" s="101" t="s">
        <v>179</v>
      </c>
      <c r="E107" s="101" t="s">
        <v>180</v>
      </c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8" t="s">
        <v>146</v>
      </c>
      <c r="B108" s="99" t="s">
        <v>105</v>
      </c>
      <c r="C108" s="100">
        <v>1177491</v>
      </c>
      <c r="D108" s="101" t="s">
        <v>179</v>
      </c>
      <c r="E108" s="101" t="s">
        <v>180</v>
      </c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>
      <c r="A109" s="98" t="s">
        <v>59</v>
      </c>
      <c r="B109" s="99" t="s">
        <v>105</v>
      </c>
      <c r="C109" s="100">
        <v>1160997</v>
      </c>
      <c r="D109" s="101" t="s">
        <v>179</v>
      </c>
      <c r="E109" s="101" t="s">
        <v>180</v>
      </c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8" t="s">
        <v>138</v>
      </c>
      <c r="B110" s="99" t="s">
        <v>105</v>
      </c>
      <c r="C110" s="100">
        <v>1159059</v>
      </c>
      <c r="D110" s="101" t="s">
        <v>179</v>
      </c>
      <c r="E110" s="101" t="s">
        <v>180</v>
      </c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>
      <c r="A111" s="98" t="s">
        <v>57</v>
      </c>
      <c r="B111" s="99" t="s">
        <v>105</v>
      </c>
      <c r="C111" s="100">
        <v>1158922</v>
      </c>
      <c r="D111" s="101" t="s">
        <v>179</v>
      </c>
      <c r="E111" s="101" t="s">
        <v>180</v>
      </c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8" t="s">
        <v>148</v>
      </c>
      <c r="B112" s="99" t="s">
        <v>105</v>
      </c>
      <c r="C112" s="100">
        <v>1133586</v>
      </c>
      <c r="D112" s="101" t="s">
        <v>179</v>
      </c>
      <c r="E112" s="101" t="s">
        <v>180</v>
      </c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8" t="s">
        <v>133</v>
      </c>
      <c r="B113" s="99" t="s">
        <v>105</v>
      </c>
      <c r="C113" s="100">
        <v>1095583</v>
      </c>
      <c r="D113" s="101" t="s">
        <v>179</v>
      </c>
      <c r="E113" s="101" t="s">
        <v>180</v>
      </c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>
      <c r="A114" s="98" t="s">
        <v>61</v>
      </c>
      <c r="B114" s="99" t="s">
        <v>105</v>
      </c>
      <c r="C114" s="100">
        <v>1083198</v>
      </c>
      <c r="D114" s="101" t="s">
        <v>179</v>
      </c>
      <c r="E114" s="101" t="s">
        <v>180</v>
      </c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8" t="s">
        <v>145</v>
      </c>
      <c r="B115" s="99" t="s">
        <v>105</v>
      </c>
      <c r="C115" s="100">
        <v>1078768</v>
      </c>
      <c r="D115" s="101" t="s">
        <v>179</v>
      </c>
      <c r="E115" s="101" t="s">
        <v>180</v>
      </c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>
      <c r="A116" s="98" t="s">
        <v>58</v>
      </c>
      <c r="B116" s="99" t="s">
        <v>105</v>
      </c>
      <c r="C116" s="100">
        <v>1067129</v>
      </c>
      <c r="D116" s="101" t="s">
        <v>179</v>
      </c>
      <c r="E116" s="101" t="s">
        <v>180</v>
      </c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>
      <c r="A117" s="98" t="s">
        <v>64</v>
      </c>
      <c r="B117" s="99" t="s">
        <v>105</v>
      </c>
      <c r="C117" s="100">
        <v>1034805</v>
      </c>
      <c r="D117" s="101" t="s">
        <v>179</v>
      </c>
      <c r="E117" s="101" t="s">
        <v>180</v>
      </c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 hidden="1">
      <c r="A118" s="98" t="s">
        <v>134</v>
      </c>
      <c r="B118" s="99" t="s">
        <v>105</v>
      </c>
      <c r="C118" s="100">
        <v>1032229</v>
      </c>
      <c r="D118" s="101" t="s">
        <v>179</v>
      </c>
      <c r="E118" s="101" t="s">
        <v>180</v>
      </c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 hidden="1">
      <c r="A119" s="98" t="s">
        <v>143</v>
      </c>
      <c r="B119" s="99" t="s">
        <v>105</v>
      </c>
      <c r="C119" s="100">
        <v>959658</v>
      </c>
      <c r="D119" s="101" t="s">
        <v>179</v>
      </c>
      <c r="E119" s="101" t="s">
        <v>180</v>
      </c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>
      <c r="A120" s="98" t="s">
        <v>67</v>
      </c>
      <c r="B120" s="99" t="s">
        <v>105</v>
      </c>
      <c r="C120" s="100">
        <v>898425</v>
      </c>
      <c r="D120" s="101" t="s">
        <v>179</v>
      </c>
      <c r="E120" s="101" t="s">
        <v>180</v>
      </c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 hidden="1">
      <c r="A121" s="98" t="s">
        <v>144</v>
      </c>
      <c r="B121" s="99" t="s">
        <v>105</v>
      </c>
      <c r="C121" s="100">
        <v>871419</v>
      </c>
      <c r="D121" s="101" t="s">
        <v>179</v>
      </c>
      <c r="E121" s="101" t="s">
        <v>180</v>
      </c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>
      <c r="A122" s="98" t="s">
        <v>66</v>
      </c>
      <c r="B122" s="99" t="s">
        <v>105</v>
      </c>
      <c r="C122" s="100">
        <v>770275</v>
      </c>
      <c r="D122" s="101" t="s">
        <v>179</v>
      </c>
      <c r="E122" s="101" t="s">
        <v>180</v>
      </c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>
      <c r="A123" s="98" t="s">
        <v>65</v>
      </c>
      <c r="B123" s="99" t="s">
        <v>105</v>
      </c>
      <c r="C123" s="100">
        <v>736373</v>
      </c>
      <c r="D123" s="101" t="s">
        <v>179</v>
      </c>
      <c r="E123" s="101" t="s">
        <v>180</v>
      </c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 hidden="1">
      <c r="A124" s="98" t="s">
        <v>150</v>
      </c>
      <c r="B124" s="99" t="s">
        <v>105</v>
      </c>
      <c r="C124" s="100">
        <v>669409</v>
      </c>
      <c r="D124" s="101" t="s">
        <v>179</v>
      </c>
      <c r="E124" s="101" t="s">
        <v>180</v>
      </c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>
      <c r="A125" s="98" t="s">
        <v>70</v>
      </c>
      <c r="B125" s="99" t="s">
        <v>105</v>
      </c>
      <c r="C125" s="100">
        <v>553466</v>
      </c>
      <c r="D125" s="101" t="s">
        <v>179</v>
      </c>
      <c r="E125" s="101" t="s">
        <v>180</v>
      </c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>
      <c r="A126" s="98" t="s">
        <v>68</v>
      </c>
      <c r="B126" s="99" t="s">
        <v>105</v>
      </c>
      <c r="C126" s="100">
        <v>512828</v>
      </c>
      <c r="D126" s="101" t="s">
        <v>179</v>
      </c>
      <c r="E126" s="101" t="s">
        <v>180</v>
      </c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>
      <c r="A127" s="98" t="s">
        <v>69</v>
      </c>
      <c r="B127" s="99" t="s">
        <v>105</v>
      </c>
      <c r="C127" s="100">
        <v>436011</v>
      </c>
      <c r="D127" s="101" t="s">
        <v>179</v>
      </c>
      <c r="E127" s="101" t="s">
        <v>180</v>
      </c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8" t="s">
        <v>147</v>
      </c>
      <c r="B128" s="99" t="s">
        <v>105</v>
      </c>
      <c r="C128" s="100">
        <v>428293</v>
      </c>
      <c r="D128" s="101" t="s">
        <v>179</v>
      </c>
      <c r="E128" s="101" t="s">
        <v>180</v>
      </c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 hidden="1">
      <c r="A129" s="98" t="s">
        <v>149</v>
      </c>
      <c r="B129" s="99" t="s">
        <v>105</v>
      </c>
      <c r="C129" s="100">
        <v>309001</v>
      </c>
      <c r="D129" s="101" t="s">
        <v>179</v>
      </c>
      <c r="E129" s="101" t="s">
        <v>180</v>
      </c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>
      <c r="A130" s="98" t="s">
        <v>71</v>
      </c>
      <c r="B130" s="99" t="s">
        <v>105</v>
      </c>
      <c r="C130" s="100">
        <v>187273</v>
      </c>
      <c r="D130" s="101" t="s">
        <v>179</v>
      </c>
      <c r="E130" s="101" t="s">
        <v>180</v>
      </c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8" t="s">
        <v>151</v>
      </c>
      <c r="B131" s="99" t="s">
        <v>105</v>
      </c>
      <c r="C131" s="100">
        <v>76096</v>
      </c>
      <c r="D131" s="101" t="s">
        <v>179</v>
      </c>
      <c r="E131" s="101" t="s">
        <v>180</v>
      </c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8" t="s">
        <v>152</v>
      </c>
      <c r="B132" s="99" t="s">
        <v>105</v>
      </c>
      <c r="C132" s="100">
        <v>52228</v>
      </c>
      <c r="D132" s="101" t="s">
        <v>179</v>
      </c>
      <c r="E132" s="101" t="s">
        <v>180</v>
      </c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  <row r="1001" spans="1:26" ht="15" hidden="1">
      <c r="A1001" s="97"/>
      <c r="B1001" s="97"/>
      <c r="C1001" s="97"/>
      <c r="D1001" s="97"/>
      <c r="E1001" s="97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</row>
    <row r="1002" spans="1:26" ht="15" hidden="1">
      <c r="A1002" s="97"/>
      <c r="B1002" s="97"/>
      <c r="C1002" s="97"/>
      <c r="D1002" s="97"/>
      <c r="E1002" s="97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</row>
    <row r="1003" spans="1:26" ht="15" hidden="1">
      <c r="A1003" s="97"/>
      <c r="B1003" s="97"/>
      <c r="C1003" s="97"/>
      <c r="D1003" s="97"/>
      <c r="E1003" s="97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</row>
    <row r="1004" spans="1:26" ht="15" hidden="1">
      <c r="A1004" s="97"/>
      <c r="B1004" s="97"/>
      <c r="C1004" s="97"/>
      <c r="D1004" s="97"/>
      <c r="E1004" s="97"/>
      <c r="F1004" s="103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  <c r="W1004" s="103"/>
      <c r="X1004" s="103"/>
      <c r="Y1004" s="103"/>
      <c r="Z1004" s="103"/>
    </row>
    <row r="1005" spans="1:26" ht="15" hidden="1">
      <c r="A1005" s="97"/>
      <c r="B1005" s="97"/>
      <c r="C1005" s="97"/>
      <c r="D1005" s="97"/>
      <c r="E1005" s="97"/>
      <c r="F1005" s="103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103"/>
      <c r="Z1005" s="103"/>
    </row>
    <row r="1006" spans="1:26" ht="15" hidden="1">
      <c r="A1006" s="97"/>
      <c r="B1006" s="97"/>
      <c r="C1006" s="97"/>
      <c r="D1006" s="97"/>
      <c r="E1006" s="97"/>
      <c r="F1006" s="103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  <c r="W1006" s="103"/>
      <c r="X1006" s="103"/>
      <c r="Y1006" s="103"/>
      <c r="Z1006" s="103"/>
    </row>
    <row r="1007" spans="1:26" ht="15" hidden="1">
      <c r="A1007" s="97"/>
      <c r="B1007" s="97"/>
      <c r="C1007" s="97"/>
      <c r="D1007" s="97"/>
      <c r="E1007" s="97"/>
      <c r="F1007" s="103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3"/>
      <c r="V1007" s="103"/>
      <c r="W1007" s="103"/>
      <c r="X1007" s="103"/>
      <c r="Y1007" s="103"/>
      <c r="Z1007" s="103"/>
    </row>
    <row r="1008" spans="1:26" ht="15" hidden="1">
      <c r="A1008" s="97"/>
      <c r="B1008" s="97"/>
      <c r="C1008" s="97"/>
      <c r="D1008" s="97"/>
      <c r="E1008" s="97"/>
      <c r="F1008" s="103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3"/>
      <c r="V1008" s="103"/>
      <c r="W1008" s="103"/>
      <c r="X1008" s="103"/>
      <c r="Y1008" s="103"/>
      <c r="Z1008" s="103"/>
    </row>
    <row r="1009" spans="1:26" ht="15" hidden="1">
      <c r="A1009" s="97"/>
      <c r="B1009" s="97"/>
      <c r="C1009" s="97"/>
      <c r="D1009" s="97"/>
      <c r="E1009" s="97"/>
      <c r="F1009" s="103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3"/>
      <c r="V1009" s="103"/>
      <c r="W1009" s="103"/>
      <c r="X1009" s="103"/>
      <c r="Y1009" s="103"/>
      <c r="Z1009" s="103"/>
    </row>
    <row r="1010" spans="1:26" ht="15" hidden="1">
      <c r="A1010" s="97"/>
      <c r="B1010" s="97"/>
      <c r="C1010" s="97"/>
      <c r="D1010" s="97"/>
      <c r="E1010" s="97"/>
      <c r="F1010" s="103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3"/>
      <c r="V1010" s="103"/>
      <c r="W1010" s="103"/>
      <c r="X1010" s="103"/>
      <c r="Y1010" s="103"/>
      <c r="Z1010" s="103"/>
    </row>
    <row r="1011" spans="1:26" ht="15" hidden="1">
      <c r="A1011" s="97"/>
      <c r="B1011" s="97"/>
      <c r="C1011" s="97"/>
      <c r="D1011" s="97"/>
      <c r="E1011" s="97"/>
      <c r="F1011" s="103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3"/>
      <c r="V1011" s="103"/>
      <c r="W1011" s="103"/>
      <c r="X1011" s="103"/>
      <c r="Y1011" s="103"/>
      <c r="Z1011" s="103"/>
    </row>
    <row r="1012" spans="1:26" ht="15" hidden="1">
      <c r="A1012" s="97"/>
      <c r="B1012" s="97"/>
      <c r="C1012" s="97"/>
      <c r="D1012" s="97"/>
      <c r="E1012" s="97"/>
      <c r="F1012" s="103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3"/>
      <c r="V1012" s="103"/>
      <c r="W1012" s="103"/>
      <c r="X1012" s="103"/>
      <c r="Y1012" s="103"/>
      <c r="Z1012" s="103"/>
    </row>
    <row r="1013" spans="1:26" ht="15" hidden="1">
      <c r="A1013" s="97"/>
      <c r="B1013" s="97"/>
      <c r="C1013" s="97"/>
      <c r="D1013" s="97"/>
      <c r="E1013" s="97"/>
      <c r="F1013" s="103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3"/>
      <c r="V1013" s="103"/>
      <c r="W1013" s="103"/>
      <c r="X1013" s="103"/>
      <c r="Y1013" s="103"/>
      <c r="Z1013" s="103"/>
    </row>
    <row r="1014" spans="1:26" ht="15" hidden="1">
      <c r="A1014" s="97"/>
      <c r="B1014" s="97"/>
      <c r="C1014" s="97"/>
      <c r="D1014" s="97"/>
      <c r="E1014" s="97"/>
      <c r="F1014" s="103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3"/>
      <c r="V1014" s="103"/>
      <c r="W1014" s="103"/>
      <c r="X1014" s="103"/>
      <c r="Y1014" s="103"/>
      <c r="Z1014" s="103"/>
    </row>
    <row r="1015" spans="1:26" ht="15" hidden="1">
      <c r="A1015" s="97"/>
      <c r="B1015" s="97"/>
      <c r="C1015" s="97"/>
      <c r="D1015" s="97"/>
      <c r="E1015" s="97"/>
      <c r="F1015" s="103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3"/>
      <c r="V1015" s="103"/>
      <c r="W1015" s="103"/>
      <c r="X1015" s="103"/>
      <c r="Y1015" s="103"/>
      <c r="Z1015" s="103"/>
    </row>
    <row r="1016" spans="1:26" ht="15" hidden="1">
      <c r="A1016" s="97"/>
      <c r="B1016" s="97"/>
      <c r="C1016" s="97"/>
      <c r="D1016" s="97"/>
      <c r="E1016" s="97"/>
      <c r="F1016" s="103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3"/>
      <c r="V1016" s="103"/>
      <c r="W1016" s="103"/>
      <c r="X1016" s="103"/>
      <c r="Y1016" s="103"/>
      <c r="Z1016" s="103"/>
    </row>
    <row r="1017" spans="1:26" ht="15" hidden="1">
      <c r="A1017" s="97"/>
      <c r="B1017" s="97"/>
      <c r="C1017" s="97"/>
      <c r="D1017" s="97"/>
      <c r="E1017" s="97"/>
      <c r="F1017" s="103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3"/>
      <c r="V1017" s="103"/>
      <c r="W1017" s="103"/>
      <c r="X1017" s="103"/>
      <c r="Y1017" s="103"/>
      <c r="Z1017" s="103"/>
    </row>
    <row r="1018" spans="1:26" ht="15" hidden="1">
      <c r="A1018" s="97"/>
      <c r="B1018" s="97"/>
      <c r="C1018" s="97"/>
      <c r="D1018" s="97"/>
      <c r="E1018" s="97"/>
      <c r="F1018" s="103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3"/>
      <c r="V1018" s="103"/>
      <c r="W1018" s="103"/>
      <c r="X1018" s="103"/>
      <c r="Y1018" s="103"/>
      <c r="Z1018" s="103"/>
    </row>
    <row r="1019" spans="1:26" ht="15" hidden="1">
      <c r="A1019" s="97"/>
      <c r="B1019" s="97"/>
      <c r="C1019" s="97"/>
      <c r="D1019" s="97"/>
      <c r="E1019" s="97"/>
      <c r="F1019" s="103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3"/>
      <c r="V1019" s="103"/>
      <c r="W1019" s="103"/>
      <c r="X1019" s="103"/>
      <c r="Y1019" s="103"/>
      <c r="Z1019" s="103"/>
    </row>
    <row r="1020" spans="1:26" ht="15" hidden="1">
      <c r="A1020" s="97"/>
      <c r="B1020" s="97"/>
      <c r="C1020" s="97"/>
      <c r="D1020" s="97"/>
      <c r="E1020" s="97"/>
      <c r="F1020" s="103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3"/>
      <c r="V1020" s="103"/>
      <c r="W1020" s="103"/>
      <c r="X1020" s="103"/>
      <c r="Y1020" s="103"/>
      <c r="Z1020" s="103"/>
    </row>
    <row r="1021" spans="1:26" ht="15" hidden="1">
      <c r="A1021" s="97"/>
      <c r="B1021" s="97"/>
      <c r="C1021" s="97"/>
      <c r="D1021" s="97"/>
      <c r="E1021" s="97"/>
      <c r="F1021" s="103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3"/>
      <c r="V1021" s="103"/>
      <c r="W1021" s="103"/>
      <c r="X1021" s="103"/>
      <c r="Y1021" s="103"/>
      <c r="Z1021" s="103"/>
    </row>
    <row r="1022" spans="1:26" ht="15" hidden="1">
      <c r="A1022" s="97"/>
      <c r="B1022" s="97"/>
      <c r="C1022" s="97"/>
      <c r="D1022" s="97"/>
      <c r="E1022" s="97"/>
      <c r="F1022" s="103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3"/>
      <c r="V1022" s="103"/>
      <c r="W1022" s="103"/>
      <c r="X1022" s="103"/>
      <c r="Y1022" s="103"/>
      <c r="Z1022" s="103"/>
    </row>
    <row r="1023" spans="1:26" ht="15" hidden="1">
      <c r="A1023" s="97"/>
      <c r="B1023" s="97"/>
      <c r="C1023" s="97"/>
      <c r="D1023" s="97"/>
      <c r="E1023" s="97"/>
      <c r="F1023" s="103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3"/>
      <c r="V1023" s="103"/>
      <c r="W1023" s="103"/>
      <c r="X1023" s="103"/>
      <c r="Y1023" s="103"/>
      <c r="Z1023" s="103"/>
    </row>
    <row r="1024" spans="1:26" ht="15" hidden="1">
      <c r="A1024" s="97"/>
      <c r="B1024" s="97"/>
      <c r="C1024" s="97"/>
      <c r="D1024" s="97"/>
      <c r="E1024" s="97"/>
      <c r="F1024" s="103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3"/>
      <c r="V1024" s="103"/>
      <c r="W1024" s="103"/>
      <c r="X1024" s="103"/>
      <c r="Y1024" s="103"/>
      <c r="Z1024" s="103"/>
    </row>
    <row r="1025" spans="1:26" ht="15" hidden="1">
      <c r="A1025" s="97"/>
      <c r="B1025" s="97"/>
      <c r="C1025" s="97"/>
      <c r="D1025" s="97"/>
      <c r="E1025" s="97"/>
      <c r="F1025" s="103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3"/>
      <c r="V1025" s="103"/>
      <c r="W1025" s="103"/>
      <c r="X1025" s="103"/>
      <c r="Y1025" s="103"/>
      <c r="Z1025" s="103"/>
    </row>
    <row r="1026" spans="1:26" ht="15" hidden="1">
      <c r="A1026" s="97"/>
      <c r="B1026" s="97"/>
      <c r="C1026" s="97"/>
      <c r="D1026" s="97"/>
      <c r="E1026" s="97"/>
      <c r="F1026" s="103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3"/>
      <c r="V1026" s="103"/>
      <c r="W1026" s="103"/>
      <c r="X1026" s="103"/>
      <c r="Y1026" s="103"/>
      <c r="Z1026" s="103"/>
    </row>
    <row r="1027" spans="1:26" ht="15" hidden="1">
      <c r="A1027" s="97"/>
      <c r="B1027" s="97"/>
      <c r="C1027" s="97"/>
      <c r="D1027" s="97"/>
      <c r="E1027" s="97"/>
      <c r="F1027" s="103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3"/>
      <c r="V1027" s="103"/>
      <c r="W1027" s="103"/>
      <c r="X1027" s="103"/>
      <c r="Y1027" s="103"/>
      <c r="Z1027" s="103"/>
    </row>
    <row r="1028" spans="1:26" ht="15" hidden="1">
      <c r="A1028" s="97"/>
      <c r="B1028" s="97"/>
      <c r="C1028" s="97"/>
      <c r="D1028" s="97"/>
      <c r="E1028" s="97"/>
      <c r="F1028" s="103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3"/>
      <c r="V1028" s="103"/>
      <c r="W1028" s="103"/>
      <c r="X1028" s="103"/>
      <c r="Y1028" s="103"/>
      <c r="Z1028" s="103"/>
    </row>
    <row r="1029" spans="1:26" ht="15" hidden="1">
      <c r="A1029" s="97"/>
      <c r="B1029" s="97"/>
      <c r="C1029" s="97"/>
      <c r="D1029" s="97"/>
      <c r="E1029" s="97"/>
      <c r="F1029" s="103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3"/>
      <c r="V1029" s="103"/>
      <c r="W1029" s="103"/>
      <c r="X1029" s="103"/>
      <c r="Y1029" s="103"/>
      <c r="Z1029" s="103"/>
    </row>
    <row r="1030" spans="1:26" ht="15" hidden="1">
      <c r="A1030" s="97"/>
      <c r="B1030" s="97"/>
      <c r="C1030" s="97"/>
      <c r="D1030" s="97"/>
      <c r="E1030" s="97"/>
      <c r="F1030" s="103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3"/>
      <c r="V1030" s="103"/>
      <c r="W1030" s="103"/>
      <c r="X1030" s="103"/>
      <c r="Y1030" s="103"/>
      <c r="Z1030" s="103"/>
    </row>
    <row r="1031" spans="1:26" ht="15" hidden="1">
      <c r="A1031" s="97"/>
      <c r="B1031" s="97"/>
      <c r="C1031" s="97"/>
      <c r="D1031" s="97"/>
      <c r="E1031" s="97"/>
      <c r="F1031" s="103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3"/>
      <c r="V1031" s="103"/>
      <c r="W1031" s="103"/>
      <c r="X1031" s="103"/>
      <c r="Y1031" s="103"/>
      <c r="Z1031" s="103"/>
    </row>
    <row r="1032" spans="1:26" ht="15" hidden="1">
      <c r="A1032" s="97"/>
      <c r="B1032" s="97"/>
      <c r="C1032" s="97"/>
      <c r="D1032" s="97"/>
      <c r="E1032" s="97"/>
      <c r="F1032" s="103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3"/>
      <c r="V1032" s="103"/>
      <c r="W1032" s="103"/>
      <c r="X1032" s="103"/>
      <c r="Y1032" s="103"/>
      <c r="Z1032" s="103"/>
    </row>
    <row r="1033" spans="1:26" ht="15" hidden="1">
      <c r="A1033" s="97"/>
      <c r="B1033" s="97"/>
      <c r="C1033" s="97"/>
      <c r="D1033" s="97"/>
      <c r="E1033" s="97"/>
      <c r="F1033" s="103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3"/>
      <c r="V1033" s="103"/>
      <c r="W1033" s="103"/>
      <c r="X1033" s="103"/>
      <c r="Y1033" s="103"/>
      <c r="Z1033" s="103"/>
    </row>
    <row r="1034" spans="1:26" ht="15" hidden="1">
      <c r="A1034" s="97"/>
      <c r="B1034" s="97"/>
      <c r="C1034" s="97"/>
      <c r="D1034" s="97"/>
      <c r="E1034" s="97"/>
      <c r="F1034" s="103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3"/>
      <c r="V1034" s="103"/>
      <c r="W1034" s="103"/>
      <c r="X1034" s="103"/>
      <c r="Y1034" s="103"/>
      <c r="Z1034" s="103"/>
    </row>
    <row r="1035" spans="1:26" ht="15" hidden="1">
      <c r="A1035" s="97"/>
      <c r="B1035" s="97"/>
      <c r="C1035" s="97"/>
      <c r="D1035" s="97"/>
      <c r="E1035" s="97"/>
      <c r="F1035" s="103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3"/>
      <c r="V1035" s="103"/>
      <c r="W1035" s="103"/>
      <c r="X1035" s="103"/>
      <c r="Y1035" s="103"/>
      <c r="Z1035" s="103"/>
    </row>
    <row r="1036" spans="1:26" ht="15" hidden="1">
      <c r="A1036" s="97"/>
      <c r="B1036" s="97"/>
      <c r="C1036" s="97"/>
      <c r="D1036" s="97"/>
      <c r="E1036" s="97"/>
      <c r="F1036" s="103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3"/>
      <c r="V1036" s="103"/>
      <c r="W1036" s="103"/>
      <c r="X1036" s="103"/>
      <c r="Y1036" s="103"/>
      <c r="Z1036" s="103"/>
    </row>
    <row r="1037" spans="1:26" ht="15" hidden="1">
      <c r="A1037" s="97"/>
      <c r="B1037" s="97"/>
      <c r="C1037" s="97"/>
      <c r="D1037" s="97"/>
      <c r="E1037" s="97"/>
      <c r="F1037" s="103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3"/>
      <c r="V1037" s="103"/>
      <c r="W1037" s="103"/>
      <c r="X1037" s="103"/>
      <c r="Y1037" s="103"/>
      <c r="Z1037" s="103"/>
    </row>
    <row r="1038" spans="1:26" ht="15" hidden="1">
      <c r="A1038" s="97"/>
      <c r="B1038" s="97"/>
      <c r="C1038" s="97"/>
      <c r="D1038" s="97"/>
      <c r="E1038" s="97"/>
      <c r="F1038" s="103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3"/>
      <c r="V1038" s="103"/>
      <c r="W1038" s="103"/>
      <c r="X1038" s="103"/>
      <c r="Y1038" s="103"/>
      <c r="Z1038" s="103"/>
    </row>
    <row r="1039" spans="1:26" ht="15" hidden="1">
      <c r="A1039" s="97"/>
      <c r="B1039" s="97"/>
      <c r="C1039" s="97"/>
      <c r="D1039" s="97"/>
      <c r="E1039" s="97"/>
      <c r="F1039" s="103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3"/>
      <c r="V1039" s="103"/>
      <c r="W1039" s="103"/>
      <c r="X1039" s="103"/>
      <c r="Y1039" s="103"/>
      <c r="Z1039" s="103"/>
    </row>
    <row r="1040" spans="1:26" ht="15" hidden="1">
      <c r="A1040" s="97"/>
      <c r="B1040" s="97"/>
      <c r="C1040" s="97"/>
      <c r="D1040" s="97"/>
      <c r="E1040" s="97"/>
      <c r="F1040" s="103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3"/>
      <c r="V1040" s="103"/>
      <c r="W1040" s="103"/>
      <c r="X1040" s="103"/>
      <c r="Y1040" s="103"/>
      <c r="Z1040" s="103"/>
    </row>
    <row r="1041" spans="1:26" ht="15" hidden="1">
      <c r="A1041" s="97"/>
      <c r="B1041" s="97"/>
      <c r="C1041" s="97"/>
      <c r="D1041" s="97"/>
      <c r="E1041" s="97"/>
      <c r="F1041" s="103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3"/>
      <c r="V1041" s="103"/>
      <c r="W1041" s="103"/>
      <c r="X1041" s="103"/>
      <c r="Y1041" s="103"/>
      <c r="Z1041" s="103"/>
    </row>
    <row r="1042" spans="1:26" ht="15" hidden="1">
      <c r="A1042" s="97"/>
      <c r="B1042" s="97"/>
      <c r="C1042" s="97"/>
      <c r="D1042" s="97"/>
      <c r="E1042" s="97"/>
      <c r="F1042" s="103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3"/>
      <c r="V1042" s="103"/>
      <c r="W1042" s="103"/>
      <c r="X1042" s="103"/>
      <c r="Y1042" s="103"/>
      <c r="Z1042" s="103"/>
    </row>
    <row r="1043" spans="1:26" ht="15" hidden="1">
      <c r="A1043" s="97"/>
      <c r="B1043" s="97"/>
      <c r="C1043" s="97"/>
      <c r="D1043" s="97"/>
      <c r="E1043" s="97"/>
      <c r="F1043" s="103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3"/>
      <c r="V1043" s="103"/>
      <c r="W1043" s="103"/>
      <c r="X1043" s="103"/>
      <c r="Y1043" s="103"/>
      <c r="Z1043" s="103"/>
    </row>
    <row r="1044" spans="1:26" ht="15" hidden="1">
      <c r="A1044" s="97"/>
      <c r="B1044" s="97"/>
      <c r="C1044" s="97"/>
      <c r="D1044" s="97"/>
      <c r="E1044" s="97"/>
      <c r="F1044" s="103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3"/>
      <c r="V1044" s="103"/>
      <c r="W1044" s="103"/>
      <c r="X1044" s="103"/>
      <c r="Y1044" s="103"/>
      <c r="Z1044" s="103"/>
    </row>
    <row r="1045" spans="1:26" ht="15" hidden="1">
      <c r="A1045" s="97"/>
      <c r="B1045" s="97"/>
      <c r="C1045" s="97"/>
      <c r="D1045" s="97"/>
      <c r="E1045" s="97"/>
      <c r="F1045" s="103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3"/>
      <c r="V1045" s="103"/>
      <c r="W1045" s="103"/>
      <c r="X1045" s="103"/>
      <c r="Y1045" s="103"/>
      <c r="Z1045" s="103"/>
    </row>
    <row r="1046" spans="1:26" ht="15" hidden="1">
      <c r="A1046" s="97"/>
      <c r="B1046" s="97"/>
      <c r="C1046" s="97"/>
      <c r="D1046" s="97"/>
      <c r="E1046" s="97"/>
      <c r="F1046" s="103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3"/>
      <c r="V1046" s="103"/>
      <c r="W1046" s="103"/>
      <c r="X1046" s="103"/>
      <c r="Y1046" s="103"/>
      <c r="Z1046" s="103"/>
    </row>
    <row r="1047" spans="1:26" ht="15" hidden="1">
      <c r="A1047" s="97"/>
      <c r="B1047" s="97"/>
      <c r="C1047" s="97"/>
      <c r="D1047" s="97"/>
      <c r="E1047" s="97"/>
      <c r="F1047" s="103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3"/>
      <c r="V1047" s="103"/>
      <c r="W1047" s="103"/>
      <c r="X1047" s="103"/>
      <c r="Y1047" s="103"/>
      <c r="Z1047" s="103"/>
    </row>
    <row r="1048" spans="1:26" ht="15" hidden="1">
      <c r="A1048" s="97"/>
      <c r="B1048" s="97"/>
      <c r="C1048" s="97"/>
      <c r="D1048" s="97"/>
      <c r="E1048" s="97"/>
      <c r="F1048" s="103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3"/>
      <c r="V1048" s="103"/>
      <c r="W1048" s="103"/>
      <c r="X1048" s="103"/>
      <c r="Y1048" s="103"/>
      <c r="Z1048" s="103"/>
    </row>
    <row r="1049" spans="1:26" ht="15" hidden="1">
      <c r="A1049" s="97"/>
      <c r="B1049" s="97"/>
      <c r="C1049" s="97"/>
      <c r="D1049" s="97"/>
      <c r="E1049" s="97"/>
      <c r="F1049" s="103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3"/>
      <c r="V1049" s="103"/>
      <c r="W1049" s="103"/>
      <c r="X1049" s="103"/>
      <c r="Y1049" s="103"/>
      <c r="Z1049" s="103"/>
    </row>
    <row r="1050" spans="1:26" ht="15" hidden="1">
      <c r="A1050" s="97"/>
      <c r="B1050" s="97"/>
      <c r="C1050" s="97"/>
      <c r="D1050" s="97"/>
      <c r="E1050" s="97"/>
      <c r="F1050" s="103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3"/>
      <c r="V1050" s="103"/>
      <c r="W1050" s="103"/>
      <c r="X1050" s="103"/>
      <c r="Y1050" s="103"/>
      <c r="Z1050" s="103"/>
    </row>
    <row r="1051" spans="1:26" ht="15" hidden="1">
      <c r="A1051" s="97"/>
      <c r="B1051" s="97"/>
      <c r="C1051" s="97"/>
      <c r="D1051" s="97"/>
      <c r="E1051" s="97"/>
      <c r="F1051" s="103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3"/>
      <c r="V1051" s="103"/>
      <c r="W1051" s="103"/>
      <c r="X1051" s="103"/>
      <c r="Y1051" s="103"/>
      <c r="Z1051" s="103"/>
    </row>
    <row r="1052" spans="1:26" ht="15" hidden="1">
      <c r="A1052" s="97"/>
      <c r="B1052" s="97"/>
      <c r="C1052" s="97"/>
      <c r="D1052" s="97"/>
      <c r="E1052" s="97"/>
      <c r="F1052" s="103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3"/>
      <c r="V1052" s="103"/>
      <c r="W1052" s="103"/>
      <c r="X1052" s="103"/>
      <c r="Y1052" s="103"/>
      <c r="Z1052" s="103"/>
    </row>
    <row r="1053" spans="1:26" ht="15" hidden="1">
      <c r="A1053" s="97"/>
      <c r="B1053" s="97"/>
      <c r="C1053" s="97"/>
      <c r="D1053" s="97"/>
      <c r="E1053" s="97"/>
      <c r="F1053" s="103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3"/>
      <c r="V1053" s="103"/>
      <c r="W1053" s="103"/>
      <c r="X1053" s="103"/>
      <c r="Y1053" s="103"/>
      <c r="Z1053" s="103"/>
    </row>
    <row r="1054" spans="1:26" ht="15" hidden="1">
      <c r="A1054" s="97"/>
      <c r="B1054" s="97"/>
      <c r="C1054" s="97"/>
      <c r="D1054" s="97"/>
      <c r="E1054" s="97"/>
      <c r="F1054" s="103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3"/>
      <c r="V1054" s="103"/>
      <c r="W1054" s="103"/>
      <c r="X1054" s="103"/>
      <c r="Y1054" s="103"/>
      <c r="Z1054" s="103"/>
    </row>
    <row r="1055" spans="1:26" ht="15" hidden="1">
      <c r="A1055" s="97"/>
      <c r="B1055" s="97"/>
      <c r="C1055" s="97"/>
      <c r="D1055" s="97"/>
      <c r="E1055" s="97"/>
      <c r="F1055" s="103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3"/>
      <c r="V1055" s="103"/>
      <c r="W1055" s="103"/>
      <c r="X1055" s="103"/>
      <c r="Y1055" s="103"/>
      <c r="Z1055" s="103"/>
    </row>
    <row r="1056" spans="1:26" ht="15" hidden="1">
      <c r="A1056" s="97"/>
      <c r="B1056" s="97"/>
      <c r="C1056" s="97"/>
      <c r="D1056" s="97"/>
      <c r="E1056" s="97"/>
      <c r="F1056" s="103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3"/>
      <c r="V1056" s="103"/>
      <c r="W1056" s="103"/>
      <c r="X1056" s="103"/>
      <c r="Y1056" s="103"/>
      <c r="Z1056" s="103"/>
    </row>
    <row r="1057" spans="1:26" ht="15" hidden="1">
      <c r="A1057" s="97"/>
      <c r="B1057" s="97"/>
      <c r="C1057" s="97"/>
      <c r="D1057" s="97"/>
      <c r="E1057" s="97"/>
      <c r="F1057" s="103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3"/>
      <c r="V1057" s="103"/>
      <c r="W1057" s="103"/>
      <c r="X1057" s="103"/>
      <c r="Y1057" s="103"/>
      <c r="Z1057" s="103"/>
    </row>
    <row r="1058" spans="1:26" ht="15" hidden="1">
      <c r="A1058" s="97"/>
      <c r="B1058" s="97"/>
      <c r="C1058" s="97"/>
      <c r="D1058" s="97"/>
      <c r="E1058" s="97"/>
      <c r="F1058" s="103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3"/>
      <c r="V1058" s="103"/>
      <c r="W1058" s="103"/>
      <c r="X1058" s="103"/>
      <c r="Y1058" s="103"/>
      <c r="Z1058" s="103"/>
    </row>
    <row r="1059" spans="1:26" ht="15" hidden="1">
      <c r="A1059" s="97"/>
      <c r="B1059" s="97"/>
      <c r="C1059" s="97"/>
      <c r="D1059" s="97"/>
      <c r="E1059" s="97"/>
      <c r="F1059" s="103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3"/>
      <c r="V1059" s="103"/>
      <c r="W1059" s="103"/>
      <c r="X1059" s="103"/>
      <c r="Y1059" s="103"/>
      <c r="Z1059" s="103"/>
    </row>
    <row r="1060" spans="1:26" ht="15" hidden="1">
      <c r="A1060" s="97"/>
      <c r="B1060" s="97"/>
      <c r="C1060" s="97"/>
      <c r="D1060" s="97"/>
      <c r="E1060" s="97"/>
      <c r="F1060" s="103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3"/>
      <c r="V1060" s="103"/>
      <c r="W1060" s="103"/>
      <c r="X1060" s="103"/>
      <c r="Y1060" s="103"/>
      <c r="Z1060" s="103"/>
    </row>
    <row r="1061" spans="1:26" ht="15" hidden="1">
      <c r="A1061" s="97"/>
      <c r="B1061" s="97"/>
      <c r="C1061" s="97"/>
      <c r="D1061" s="97"/>
      <c r="E1061" s="97"/>
      <c r="F1061" s="103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3"/>
      <c r="V1061" s="103"/>
      <c r="W1061" s="103"/>
      <c r="X1061" s="103"/>
      <c r="Y1061" s="103"/>
      <c r="Z1061" s="103"/>
    </row>
    <row r="1062" spans="1:26" ht="15" hidden="1">
      <c r="A1062" s="97"/>
      <c r="B1062" s="97"/>
      <c r="C1062" s="97"/>
      <c r="D1062" s="97"/>
      <c r="E1062" s="97"/>
      <c r="F1062" s="103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3"/>
      <c r="V1062" s="103"/>
      <c r="W1062" s="103"/>
      <c r="X1062" s="103"/>
      <c r="Y1062" s="103"/>
      <c r="Z1062" s="103"/>
    </row>
    <row r="1063" spans="1:26" ht="15" hidden="1">
      <c r="A1063" s="97"/>
      <c r="B1063" s="97"/>
      <c r="C1063" s="97"/>
      <c r="D1063" s="97"/>
      <c r="E1063" s="97"/>
      <c r="F1063" s="103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3"/>
      <c r="V1063" s="103"/>
      <c r="W1063" s="103"/>
      <c r="X1063" s="103"/>
      <c r="Y1063" s="103"/>
      <c r="Z1063" s="103"/>
    </row>
    <row r="1064" spans="1:26" ht="15" hidden="1">
      <c r="A1064" s="97"/>
      <c r="B1064" s="97"/>
      <c r="C1064" s="97"/>
      <c r="D1064" s="97"/>
      <c r="E1064" s="97"/>
      <c r="F1064" s="103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3"/>
      <c r="V1064" s="103"/>
      <c r="W1064" s="103"/>
      <c r="X1064" s="103"/>
      <c r="Y1064" s="103"/>
      <c r="Z1064" s="103"/>
    </row>
    <row r="1065" spans="1:26" ht="15" hidden="1">
      <c r="A1065" s="97"/>
      <c r="B1065" s="97"/>
      <c r="C1065" s="97"/>
      <c r="D1065" s="97"/>
      <c r="E1065" s="97"/>
      <c r="F1065" s="103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3"/>
      <c r="V1065" s="103"/>
      <c r="W1065" s="103"/>
      <c r="X1065" s="103"/>
      <c r="Y1065" s="103"/>
      <c r="Z1065" s="103"/>
    </row>
    <row r="1066" spans="1:26" ht="15" hidden="1">
      <c r="A1066" s="97"/>
      <c r="B1066" s="97"/>
      <c r="C1066" s="97"/>
      <c r="D1066" s="97"/>
      <c r="E1066" s="97"/>
      <c r="F1066" s="103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3"/>
      <c r="V1066" s="103"/>
      <c r="W1066" s="103"/>
      <c r="X1066" s="103"/>
      <c r="Y1066" s="103"/>
      <c r="Z1066" s="103"/>
    </row>
  </sheetData>
  <autoFilter ref="A1:Z1066" xr:uid="{00000000-0009-0000-0000-00000A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Z1065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969359440</v>
      </c>
      <c r="D2" s="101" t="s">
        <v>181</v>
      </c>
      <c r="E2" s="101" t="s">
        <v>182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267071180</v>
      </c>
      <c r="D3" s="101" t="s">
        <v>181</v>
      </c>
      <c r="E3" s="101" t="s">
        <v>182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158148885</v>
      </c>
      <c r="D4" s="101" t="s">
        <v>181</v>
      </c>
      <c r="E4" s="101" t="s">
        <v>182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35150907</v>
      </c>
      <c r="D5" s="101" t="s">
        <v>181</v>
      </c>
      <c r="E5" s="101" t="s">
        <v>182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>
      <c r="A6" s="98" t="s">
        <v>54</v>
      </c>
      <c r="B6" s="99" t="s">
        <v>105</v>
      </c>
      <c r="C6" s="100">
        <v>23851125</v>
      </c>
      <c r="D6" s="101" t="s">
        <v>181</v>
      </c>
      <c r="E6" s="101" t="s">
        <v>182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 hidden="1">
      <c r="A7" s="98" t="s">
        <v>111</v>
      </c>
      <c r="B7" s="99" t="s">
        <v>105</v>
      </c>
      <c r="C7" s="100">
        <v>22177854</v>
      </c>
      <c r="D7" s="101" t="s">
        <v>181</v>
      </c>
      <c r="E7" s="101" t="s">
        <v>182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 hidden="1">
      <c r="A8" s="98" t="s">
        <v>112</v>
      </c>
      <c r="B8" s="99" t="s">
        <v>105</v>
      </c>
      <c r="C8" s="100">
        <v>21229606</v>
      </c>
      <c r="D8" s="101" t="s">
        <v>181</v>
      </c>
      <c r="E8" s="101" t="s">
        <v>182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110</v>
      </c>
      <c r="B9" s="99" t="s">
        <v>105</v>
      </c>
      <c r="C9" s="100">
        <v>20439898</v>
      </c>
      <c r="D9" s="101" t="s">
        <v>181</v>
      </c>
      <c r="E9" s="101" t="s">
        <v>182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115</v>
      </c>
      <c r="B10" s="99" t="s">
        <v>105</v>
      </c>
      <c r="C10" s="100">
        <v>18928935</v>
      </c>
      <c r="D10" s="101" t="s">
        <v>181</v>
      </c>
      <c r="E10" s="101" t="s">
        <v>182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 hidden="1">
      <c r="A11" s="98" t="s">
        <v>114</v>
      </c>
      <c r="B11" s="99" t="s">
        <v>105</v>
      </c>
      <c r="C11" s="100">
        <v>18262612</v>
      </c>
      <c r="D11" s="101" t="s">
        <v>181</v>
      </c>
      <c r="E11" s="101" t="s">
        <v>182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>
      <c r="A12" s="98" t="s">
        <v>55</v>
      </c>
      <c r="B12" s="99" t="s">
        <v>105</v>
      </c>
      <c r="C12" s="100">
        <v>17145336</v>
      </c>
      <c r="D12" s="101" t="s">
        <v>181</v>
      </c>
      <c r="E12" s="101" t="s">
        <v>182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 hidden="1">
      <c r="A13" s="98" t="s">
        <v>113</v>
      </c>
      <c r="B13" s="99" t="s">
        <v>105</v>
      </c>
      <c r="C13" s="100">
        <v>17118101</v>
      </c>
      <c r="D13" s="101" t="s">
        <v>181</v>
      </c>
      <c r="E13" s="101" t="s">
        <v>182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 hidden="1">
      <c r="A14" s="98" t="s">
        <v>121</v>
      </c>
      <c r="B14" s="99" t="s">
        <v>105</v>
      </c>
      <c r="C14" s="100">
        <v>16066453</v>
      </c>
      <c r="D14" s="101" t="s">
        <v>181</v>
      </c>
      <c r="E14" s="101" t="s">
        <v>182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>
      <c r="A15" s="98" t="s">
        <v>56</v>
      </c>
      <c r="B15" s="99" t="s">
        <v>105</v>
      </c>
      <c r="C15" s="100">
        <v>12913196</v>
      </c>
      <c r="D15" s="101" t="s">
        <v>181</v>
      </c>
      <c r="E15" s="101" t="s">
        <v>182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122</v>
      </c>
      <c r="B16" s="99" t="s">
        <v>105</v>
      </c>
      <c r="C16" s="100">
        <v>12857466</v>
      </c>
      <c r="D16" s="101" t="s">
        <v>181</v>
      </c>
      <c r="E16" s="101" t="s">
        <v>182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117</v>
      </c>
      <c r="B17" s="99" t="s">
        <v>105</v>
      </c>
      <c r="C17" s="100">
        <v>12070561</v>
      </c>
      <c r="D17" s="101" t="s">
        <v>181</v>
      </c>
      <c r="E17" s="101" t="s">
        <v>182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 hidden="1">
      <c r="A18" s="98" t="s">
        <v>120</v>
      </c>
      <c r="B18" s="99" t="s">
        <v>105</v>
      </c>
      <c r="C18" s="100">
        <v>12051257</v>
      </c>
      <c r="D18" s="101" t="s">
        <v>181</v>
      </c>
      <c r="E18" s="101" t="s">
        <v>182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124</v>
      </c>
      <c r="B19" s="99" t="s">
        <v>105</v>
      </c>
      <c r="C19" s="100">
        <v>12004444</v>
      </c>
      <c r="D19" s="101" t="s">
        <v>181</v>
      </c>
      <c r="E19" s="101" t="s">
        <v>182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116</v>
      </c>
      <c r="B20" s="99" t="s">
        <v>105</v>
      </c>
      <c r="C20" s="100">
        <v>11692728</v>
      </c>
      <c r="D20" s="101" t="s">
        <v>181</v>
      </c>
      <c r="E20" s="101" t="s">
        <v>182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118</v>
      </c>
      <c r="B21" s="99" t="s">
        <v>105</v>
      </c>
      <c r="C21" s="100">
        <v>11651222</v>
      </c>
      <c r="D21" s="101" t="s">
        <v>181</v>
      </c>
      <c r="E21" s="101" t="s">
        <v>182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119</v>
      </c>
      <c r="B22" s="99" t="s">
        <v>105</v>
      </c>
      <c r="C22" s="100">
        <v>11502608</v>
      </c>
      <c r="D22" s="101" t="s">
        <v>181</v>
      </c>
      <c r="E22" s="101" t="s">
        <v>182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127</v>
      </c>
      <c r="B23" s="99" t="s">
        <v>105</v>
      </c>
      <c r="C23" s="100">
        <v>11004726</v>
      </c>
      <c r="D23" s="101" t="s">
        <v>181</v>
      </c>
      <c r="E23" s="101" t="s">
        <v>182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128</v>
      </c>
      <c r="B24" s="99" t="s">
        <v>105</v>
      </c>
      <c r="C24" s="100">
        <v>10537396</v>
      </c>
      <c r="D24" s="101" t="s">
        <v>181</v>
      </c>
      <c r="E24" s="101" t="s">
        <v>182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125</v>
      </c>
      <c r="B25" s="99" t="s">
        <v>105</v>
      </c>
      <c r="C25" s="100">
        <v>10081695</v>
      </c>
      <c r="D25" s="101" t="s">
        <v>181</v>
      </c>
      <c r="E25" s="101" t="s">
        <v>182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126</v>
      </c>
      <c r="B26" s="99" t="s">
        <v>105</v>
      </c>
      <c r="C26" s="100">
        <v>9870967</v>
      </c>
      <c r="D26" s="101" t="s">
        <v>181</v>
      </c>
      <c r="E26" s="101" t="s">
        <v>182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123</v>
      </c>
      <c r="B27" s="99" t="s">
        <v>105</v>
      </c>
      <c r="C27" s="100">
        <v>8903735</v>
      </c>
      <c r="D27" s="101" t="s">
        <v>181</v>
      </c>
      <c r="E27" s="101" t="s">
        <v>182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131</v>
      </c>
      <c r="B28" s="99" t="s">
        <v>105</v>
      </c>
      <c r="C28" s="100">
        <v>7986413</v>
      </c>
      <c r="D28" s="101" t="s">
        <v>181</v>
      </c>
      <c r="E28" s="101" t="s">
        <v>182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 hidden="1">
      <c r="A29" s="98" t="s">
        <v>130</v>
      </c>
      <c r="B29" s="99" t="s">
        <v>105</v>
      </c>
      <c r="C29" s="100">
        <v>7897912</v>
      </c>
      <c r="D29" s="101" t="s">
        <v>181</v>
      </c>
      <c r="E29" s="101" t="s">
        <v>182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 hidden="1">
      <c r="A30" s="98" t="s">
        <v>136</v>
      </c>
      <c r="B30" s="99" t="s">
        <v>105</v>
      </c>
      <c r="C30" s="100">
        <v>7539860</v>
      </c>
      <c r="D30" s="101" t="s">
        <v>181</v>
      </c>
      <c r="E30" s="101" t="s">
        <v>182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>
      <c r="A31" s="98" t="s">
        <v>57</v>
      </c>
      <c r="B31" s="99" t="s">
        <v>105</v>
      </c>
      <c r="C31" s="100">
        <v>7442218</v>
      </c>
      <c r="D31" s="101" t="s">
        <v>181</v>
      </c>
      <c r="E31" s="101" t="s">
        <v>182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 hidden="1">
      <c r="A32" s="98" t="s">
        <v>129</v>
      </c>
      <c r="B32" s="99" t="s">
        <v>105</v>
      </c>
      <c r="C32" s="100">
        <v>6836418</v>
      </c>
      <c r="D32" s="101" t="s">
        <v>181</v>
      </c>
      <c r="E32" s="101" t="s">
        <v>182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>
      <c r="A33" s="98" t="s">
        <v>59</v>
      </c>
      <c r="B33" s="99" t="s">
        <v>105</v>
      </c>
      <c r="C33" s="100">
        <v>6714502</v>
      </c>
      <c r="D33" s="101" t="s">
        <v>181</v>
      </c>
      <c r="E33" s="101" t="s">
        <v>182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140</v>
      </c>
      <c r="B34" s="99" t="s">
        <v>105</v>
      </c>
      <c r="C34" s="100">
        <v>6587019</v>
      </c>
      <c r="D34" s="101" t="s">
        <v>181</v>
      </c>
      <c r="E34" s="101" t="s">
        <v>182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 hidden="1">
      <c r="A35" s="98" t="s">
        <v>145</v>
      </c>
      <c r="B35" s="99" t="s">
        <v>105</v>
      </c>
      <c r="C35" s="100">
        <v>6469588</v>
      </c>
      <c r="D35" s="101" t="s">
        <v>181</v>
      </c>
      <c r="E35" s="101" t="s">
        <v>182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 hidden="1">
      <c r="A36" s="98" t="s">
        <v>132</v>
      </c>
      <c r="B36" s="99" t="s">
        <v>105</v>
      </c>
      <c r="C36" s="100">
        <v>6428182</v>
      </c>
      <c r="D36" s="101" t="s">
        <v>181</v>
      </c>
      <c r="E36" s="101" t="s">
        <v>182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>
      <c r="A37" s="98" t="s">
        <v>61</v>
      </c>
      <c r="B37" s="99" t="s">
        <v>105</v>
      </c>
      <c r="C37" s="100">
        <v>6374176</v>
      </c>
      <c r="D37" s="101" t="s">
        <v>181</v>
      </c>
      <c r="E37" s="101" t="s">
        <v>182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 hidden="1">
      <c r="A38" s="98" t="s">
        <v>133</v>
      </c>
      <c r="B38" s="99" t="s">
        <v>105</v>
      </c>
      <c r="C38" s="100">
        <v>6301316</v>
      </c>
      <c r="D38" s="101" t="s">
        <v>181</v>
      </c>
      <c r="E38" s="101" t="s">
        <v>182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>
      <c r="A39" s="98" t="s">
        <v>60</v>
      </c>
      <c r="B39" s="99" t="s">
        <v>105</v>
      </c>
      <c r="C39" s="100">
        <v>6021667</v>
      </c>
      <c r="D39" s="101" t="s">
        <v>181</v>
      </c>
      <c r="E39" s="101" t="s">
        <v>182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>
      <c r="A40" s="98" t="s">
        <v>63</v>
      </c>
      <c r="B40" s="99" t="s">
        <v>105</v>
      </c>
      <c r="C40" s="100">
        <v>6007887</v>
      </c>
      <c r="D40" s="101" t="s">
        <v>181</v>
      </c>
      <c r="E40" s="101" t="s">
        <v>182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 hidden="1">
      <c r="A41" s="98" t="s">
        <v>142</v>
      </c>
      <c r="B41" s="99" t="s">
        <v>105</v>
      </c>
      <c r="C41" s="100">
        <v>6000205</v>
      </c>
      <c r="D41" s="101" t="s">
        <v>181</v>
      </c>
      <c r="E41" s="101" t="s">
        <v>182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 hidden="1">
      <c r="A42" s="98" t="s">
        <v>137</v>
      </c>
      <c r="B42" s="99" t="s">
        <v>105</v>
      </c>
      <c r="C42" s="100">
        <v>5969124</v>
      </c>
      <c r="D42" s="101" t="s">
        <v>181</v>
      </c>
      <c r="E42" s="101" t="s">
        <v>182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>
      <c r="A43" s="98" t="s">
        <v>62</v>
      </c>
      <c r="B43" s="99" t="s">
        <v>105</v>
      </c>
      <c r="C43" s="100">
        <v>5767387</v>
      </c>
      <c r="D43" s="101" t="s">
        <v>181</v>
      </c>
      <c r="E43" s="101" t="s">
        <v>182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>
      <c r="A44" s="98" t="s">
        <v>58</v>
      </c>
      <c r="B44" s="99" t="s">
        <v>105</v>
      </c>
      <c r="C44" s="100">
        <v>5672321</v>
      </c>
      <c r="D44" s="101" t="s">
        <v>181</v>
      </c>
      <c r="E44" s="101" t="s">
        <v>182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 hidden="1">
      <c r="A45" s="98" t="s">
        <v>135</v>
      </c>
      <c r="B45" s="99" t="s">
        <v>105</v>
      </c>
      <c r="C45" s="100">
        <v>5606490</v>
      </c>
      <c r="D45" s="101" t="s">
        <v>181</v>
      </c>
      <c r="E45" s="101" t="s">
        <v>182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 hidden="1">
      <c r="A46" s="98" t="s">
        <v>134</v>
      </c>
      <c r="B46" s="99" t="s">
        <v>105</v>
      </c>
      <c r="C46" s="100">
        <v>5522723</v>
      </c>
      <c r="D46" s="101" t="s">
        <v>181</v>
      </c>
      <c r="E46" s="101" t="s">
        <v>182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139</v>
      </c>
      <c r="B47" s="99" t="s">
        <v>105</v>
      </c>
      <c r="C47" s="100">
        <v>5372565</v>
      </c>
      <c r="D47" s="101" t="s">
        <v>181</v>
      </c>
      <c r="E47" s="101" t="s">
        <v>182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 hidden="1">
      <c r="A48" s="98" t="s">
        <v>144</v>
      </c>
      <c r="B48" s="99" t="s">
        <v>105</v>
      </c>
      <c r="C48" s="100">
        <v>4927758</v>
      </c>
      <c r="D48" s="101" t="s">
        <v>181</v>
      </c>
      <c r="E48" s="101" t="s">
        <v>182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>
      <c r="A49" s="98" t="s">
        <v>64</v>
      </c>
      <c r="B49" s="99" t="s">
        <v>105</v>
      </c>
      <c r="C49" s="100">
        <v>4849215</v>
      </c>
      <c r="D49" s="101" t="s">
        <v>181</v>
      </c>
      <c r="E49" s="101" t="s">
        <v>182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 hidden="1">
      <c r="A50" s="98" t="s">
        <v>146</v>
      </c>
      <c r="B50" s="99" t="s">
        <v>105</v>
      </c>
      <c r="C50" s="100">
        <v>4808985</v>
      </c>
      <c r="D50" s="101" t="s">
        <v>181</v>
      </c>
      <c r="E50" s="101" t="s">
        <v>182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 hidden="1">
      <c r="A51" s="98" t="s">
        <v>141</v>
      </c>
      <c r="B51" s="99" t="s">
        <v>105</v>
      </c>
      <c r="C51" s="100">
        <v>4645984</v>
      </c>
      <c r="D51" s="101" t="s">
        <v>181</v>
      </c>
      <c r="E51" s="101" t="s">
        <v>182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 hidden="1">
      <c r="A52" s="98" t="s">
        <v>138</v>
      </c>
      <c r="B52" s="99" t="s">
        <v>105</v>
      </c>
      <c r="C52" s="100">
        <v>4509504</v>
      </c>
      <c r="D52" s="101" t="s">
        <v>181</v>
      </c>
      <c r="E52" s="101" t="s">
        <v>182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 hidden="1">
      <c r="A53" s="98" t="s">
        <v>148</v>
      </c>
      <c r="B53" s="99" t="s">
        <v>105</v>
      </c>
      <c r="C53" s="100">
        <v>4367799</v>
      </c>
      <c r="D53" s="101" t="s">
        <v>181</v>
      </c>
      <c r="E53" s="101" t="s">
        <v>182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 hidden="1">
      <c r="A54" s="98" t="s">
        <v>143</v>
      </c>
      <c r="B54" s="99" t="s">
        <v>105</v>
      </c>
      <c r="C54" s="100">
        <v>4360479</v>
      </c>
      <c r="D54" s="101" t="s">
        <v>181</v>
      </c>
      <c r="E54" s="101" t="s">
        <v>182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>
      <c r="A55" s="98" t="s">
        <v>66</v>
      </c>
      <c r="B55" s="99" t="s">
        <v>105</v>
      </c>
      <c r="C55" s="100">
        <v>4207380</v>
      </c>
      <c r="D55" s="101" t="s">
        <v>181</v>
      </c>
      <c r="E55" s="101" t="s">
        <v>182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>
      <c r="A56" s="98" t="s">
        <v>65</v>
      </c>
      <c r="B56" s="99" t="s">
        <v>105</v>
      </c>
      <c r="C56" s="100">
        <v>3349642</v>
      </c>
      <c r="D56" s="101" t="s">
        <v>181</v>
      </c>
      <c r="E56" s="101" t="s">
        <v>182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>
      <c r="A57" s="98" t="s">
        <v>67</v>
      </c>
      <c r="B57" s="99" t="s">
        <v>105</v>
      </c>
      <c r="C57" s="100">
        <v>3033868</v>
      </c>
      <c r="D57" s="101" t="s">
        <v>181</v>
      </c>
      <c r="E57" s="101" t="s">
        <v>182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>
      <c r="A58" s="98" t="s">
        <v>69</v>
      </c>
      <c r="B58" s="99" t="s">
        <v>105</v>
      </c>
      <c r="C58" s="100">
        <v>2619662</v>
      </c>
      <c r="D58" s="101" t="s">
        <v>181</v>
      </c>
      <c r="E58" s="101" t="s">
        <v>182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 hidden="1">
      <c r="A59" s="98" t="s">
        <v>147</v>
      </c>
      <c r="B59" s="99" t="s">
        <v>105</v>
      </c>
      <c r="C59" s="100">
        <v>2523495</v>
      </c>
      <c r="D59" s="101" t="s">
        <v>181</v>
      </c>
      <c r="E59" s="101" t="s">
        <v>182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>
      <c r="A60" s="98" t="s">
        <v>68</v>
      </c>
      <c r="B60" s="99" t="s">
        <v>105</v>
      </c>
      <c r="C60" s="100">
        <v>2378027</v>
      </c>
      <c r="D60" s="101" t="s">
        <v>181</v>
      </c>
      <c r="E60" s="101" t="s">
        <v>182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 hidden="1">
      <c r="A61" s="98" t="s">
        <v>150</v>
      </c>
      <c r="B61" s="99" t="s">
        <v>105</v>
      </c>
      <c r="C61" s="100">
        <v>2313039</v>
      </c>
      <c r="D61" s="101" t="s">
        <v>181</v>
      </c>
      <c r="E61" s="101" t="s">
        <v>182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>
      <c r="A62" s="98" t="s">
        <v>70</v>
      </c>
      <c r="B62" s="99" t="s">
        <v>105</v>
      </c>
      <c r="C62" s="100">
        <v>1985462</v>
      </c>
      <c r="D62" s="101" t="s">
        <v>181</v>
      </c>
      <c r="E62" s="101" t="s">
        <v>182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 hidden="1">
      <c r="A63" s="98" t="s">
        <v>149</v>
      </c>
      <c r="B63" s="99" t="s">
        <v>105</v>
      </c>
      <c r="C63" s="100">
        <v>1755346</v>
      </c>
      <c r="D63" s="101" t="s">
        <v>181</v>
      </c>
      <c r="E63" s="101" t="s">
        <v>182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>
      <c r="A64" s="98" t="s">
        <v>71</v>
      </c>
      <c r="B64" s="99" t="s">
        <v>105</v>
      </c>
      <c r="C64" s="100">
        <v>848822</v>
      </c>
      <c r="D64" s="101" t="s">
        <v>181</v>
      </c>
      <c r="E64" s="101" t="s">
        <v>182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 hidden="1">
      <c r="A65" s="98" t="s">
        <v>151</v>
      </c>
      <c r="B65" s="99" t="s">
        <v>105</v>
      </c>
      <c r="C65" s="100">
        <v>509056</v>
      </c>
      <c r="D65" s="101" t="s">
        <v>181</v>
      </c>
      <c r="E65" s="101" t="s">
        <v>182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115051</v>
      </c>
      <c r="D66" s="101" t="s">
        <v>181</v>
      </c>
      <c r="E66" s="101" t="s">
        <v>182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8" t="s">
        <v>104</v>
      </c>
      <c r="B67" s="99" t="s">
        <v>105</v>
      </c>
      <c r="C67" s="100">
        <v>28055352</v>
      </c>
      <c r="D67" s="101" t="s">
        <v>181</v>
      </c>
      <c r="E67" s="101" t="s">
        <v>182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8" t="s">
        <v>108</v>
      </c>
      <c r="B68" s="99" t="s">
        <v>105</v>
      </c>
      <c r="C68" s="100">
        <v>7163794</v>
      </c>
      <c r="D68" s="101" t="s">
        <v>181</v>
      </c>
      <c r="E68" s="101" t="s">
        <v>182</v>
      </c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>
      <c r="A69" s="98" t="s">
        <v>53</v>
      </c>
      <c r="B69" s="99" t="s">
        <v>105</v>
      </c>
      <c r="C69" s="100">
        <v>4384382</v>
      </c>
      <c r="D69" s="101" t="s">
        <v>181</v>
      </c>
      <c r="E69" s="101" t="s">
        <v>182</v>
      </c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 hidden="1">
      <c r="A70" s="98" t="s">
        <v>109</v>
      </c>
      <c r="B70" s="99" t="s">
        <v>105</v>
      </c>
      <c r="C70" s="100">
        <v>1064892</v>
      </c>
      <c r="D70" s="101" t="s">
        <v>181</v>
      </c>
      <c r="E70" s="101" t="s">
        <v>182</v>
      </c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8" t="s">
        <v>112</v>
      </c>
      <c r="B71" s="99" t="s">
        <v>105</v>
      </c>
      <c r="C71" s="100">
        <v>765698</v>
      </c>
      <c r="D71" s="101" t="s">
        <v>181</v>
      </c>
      <c r="E71" s="101" t="s">
        <v>182</v>
      </c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8" t="s">
        <v>111</v>
      </c>
      <c r="B72" s="99" t="s">
        <v>105</v>
      </c>
      <c r="C72" s="100">
        <v>716098</v>
      </c>
      <c r="D72" s="101" t="s">
        <v>181</v>
      </c>
      <c r="E72" s="101" t="s">
        <v>182</v>
      </c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>
      <c r="A73" s="98" t="s">
        <v>54</v>
      </c>
      <c r="B73" s="99" t="s">
        <v>105</v>
      </c>
      <c r="C73" s="100">
        <v>708821</v>
      </c>
      <c r="D73" s="101" t="s">
        <v>181</v>
      </c>
      <c r="E73" s="101" t="s">
        <v>182</v>
      </c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 hidden="1">
      <c r="A74" s="98" t="s">
        <v>114</v>
      </c>
      <c r="B74" s="99" t="s">
        <v>105</v>
      </c>
      <c r="C74" s="100">
        <v>624682</v>
      </c>
      <c r="D74" s="101" t="s">
        <v>181</v>
      </c>
      <c r="E74" s="101" t="s">
        <v>182</v>
      </c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8" t="s">
        <v>110</v>
      </c>
      <c r="B75" s="99" t="s">
        <v>105</v>
      </c>
      <c r="C75" s="100">
        <v>595090</v>
      </c>
      <c r="D75" s="101" t="s">
        <v>181</v>
      </c>
      <c r="E75" s="101" t="s">
        <v>182</v>
      </c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8" t="s">
        <v>115</v>
      </c>
      <c r="B76" s="99" t="s">
        <v>105</v>
      </c>
      <c r="C76" s="100">
        <v>593542</v>
      </c>
      <c r="D76" s="101" t="s">
        <v>181</v>
      </c>
      <c r="E76" s="101" t="s">
        <v>182</v>
      </c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>
      <c r="A77" s="98" t="s">
        <v>55</v>
      </c>
      <c r="B77" s="99" t="s">
        <v>105</v>
      </c>
      <c r="C77" s="100">
        <v>586831</v>
      </c>
      <c r="D77" s="101" t="s">
        <v>181</v>
      </c>
      <c r="E77" s="101" t="s">
        <v>182</v>
      </c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8" t="s">
        <v>113</v>
      </c>
      <c r="B78" s="99" t="s">
        <v>105</v>
      </c>
      <c r="C78" s="100">
        <v>519833</v>
      </c>
      <c r="D78" s="101" t="s">
        <v>181</v>
      </c>
      <c r="E78" s="101" t="s">
        <v>182</v>
      </c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 hidden="1">
      <c r="A79" s="98" t="s">
        <v>122</v>
      </c>
      <c r="B79" s="99" t="s">
        <v>105</v>
      </c>
      <c r="C79" s="100">
        <v>413635</v>
      </c>
      <c r="D79" s="101" t="s">
        <v>181</v>
      </c>
      <c r="E79" s="101" t="s">
        <v>182</v>
      </c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8" t="s">
        <v>121</v>
      </c>
      <c r="B80" s="99" t="s">
        <v>105</v>
      </c>
      <c r="C80" s="100">
        <v>409857</v>
      </c>
      <c r="D80" s="101" t="s">
        <v>181</v>
      </c>
      <c r="E80" s="101" t="s">
        <v>182</v>
      </c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8" t="s">
        <v>118</v>
      </c>
      <c r="B81" s="99" t="s">
        <v>105</v>
      </c>
      <c r="C81" s="100">
        <v>399280</v>
      </c>
      <c r="D81" s="101" t="s">
        <v>181</v>
      </c>
      <c r="E81" s="101" t="s">
        <v>182</v>
      </c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 hidden="1">
      <c r="A82" s="98" t="s">
        <v>120</v>
      </c>
      <c r="B82" s="99" t="s">
        <v>105</v>
      </c>
      <c r="C82" s="100">
        <v>374841</v>
      </c>
      <c r="D82" s="101" t="s">
        <v>181</v>
      </c>
      <c r="E82" s="101" t="s">
        <v>182</v>
      </c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>
      <c r="A83" s="98" t="s">
        <v>56</v>
      </c>
      <c r="B83" s="99" t="s">
        <v>105</v>
      </c>
      <c r="C83" s="100">
        <v>371168</v>
      </c>
      <c r="D83" s="101" t="s">
        <v>181</v>
      </c>
      <c r="E83" s="101" t="s">
        <v>182</v>
      </c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8" t="s">
        <v>116</v>
      </c>
      <c r="B84" s="99" t="s">
        <v>105</v>
      </c>
      <c r="C84" s="100">
        <v>359894</v>
      </c>
      <c r="D84" s="101" t="s">
        <v>181</v>
      </c>
      <c r="E84" s="101" t="s">
        <v>182</v>
      </c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8" t="s">
        <v>117</v>
      </c>
      <c r="B85" s="99" t="s">
        <v>105</v>
      </c>
      <c r="C85" s="100">
        <v>357131</v>
      </c>
      <c r="D85" s="101" t="s">
        <v>181</v>
      </c>
      <c r="E85" s="101" t="s">
        <v>182</v>
      </c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8" t="s">
        <v>119</v>
      </c>
      <c r="B86" s="99" t="s">
        <v>105</v>
      </c>
      <c r="C86" s="100">
        <v>349215</v>
      </c>
      <c r="D86" s="101" t="s">
        <v>181</v>
      </c>
      <c r="E86" s="101" t="s">
        <v>182</v>
      </c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8" t="s">
        <v>124</v>
      </c>
      <c r="B87" s="99" t="s">
        <v>105</v>
      </c>
      <c r="C87" s="100">
        <v>348348</v>
      </c>
      <c r="D87" s="101" t="s">
        <v>181</v>
      </c>
      <c r="E87" s="101" t="s">
        <v>182</v>
      </c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8" t="s">
        <v>127</v>
      </c>
      <c r="B88" s="99" t="s">
        <v>105</v>
      </c>
      <c r="C88" s="100">
        <v>325309</v>
      </c>
      <c r="D88" s="101" t="s">
        <v>181</v>
      </c>
      <c r="E88" s="101" t="s">
        <v>182</v>
      </c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8" t="s">
        <v>128</v>
      </c>
      <c r="B89" s="99" t="s">
        <v>105</v>
      </c>
      <c r="C89" s="100">
        <v>273090</v>
      </c>
      <c r="D89" s="101" t="s">
        <v>181</v>
      </c>
      <c r="E89" s="101" t="s">
        <v>182</v>
      </c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8" t="s">
        <v>143</v>
      </c>
      <c r="B90" s="99" t="s">
        <v>105</v>
      </c>
      <c r="C90" s="100">
        <v>267852</v>
      </c>
      <c r="D90" s="101" t="s">
        <v>181</v>
      </c>
      <c r="E90" s="101" t="s">
        <v>182</v>
      </c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8" t="s">
        <v>126</v>
      </c>
      <c r="B91" s="99" t="s">
        <v>105</v>
      </c>
      <c r="C91" s="100">
        <v>261816</v>
      </c>
      <c r="D91" s="101" t="s">
        <v>181</v>
      </c>
      <c r="E91" s="101" t="s">
        <v>182</v>
      </c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8" t="s">
        <v>123</v>
      </c>
      <c r="B92" s="99" t="s">
        <v>105</v>
      </c>
      <c r="C92" s="100">
        <v>251848</v>
      </c>
      <c r="D92" s="101" t="s">
        <v>181</v>
      </c>
      <c r="E92" s="101" t="s">
        <v>182</v>
      </c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8" t="s">
        <v>131</v>
      </c>
      <c r="B93" s="99" t="s">
        <v>105</v>
      </c>
      <c r="C93" s="100">
        <v>246527</v>
      </c>
      <c r="D93" s="101" t="s">
        <v>181</v>
      </c>
      <c r="E93" s="101" t="s">
        <v>182</v>
      </c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8" t="s">
        <v>125</v>
      </c>
      <c r="B94" s="99" t="s">
        <v>105</v>
      </c>
      <c r="C94" s="100">
        <v>243321</v>
      </c>
      <c r="D94" s="101" t="s">
        <v>181</v>
      </c>
      <c r="E94" s="101" t="s">
        <v>182</v>
      </c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8" t="s">
        <v>130</v>
      </c>
      <c r="B95" s="99" t="s">
        <v>105</v>
      </c>
      <c r="C95" s="100">
        <v>233395</v>
      </c>
      <c r="D95" s="101" t="s">
        <v>181</v>
      </c>
      <c r="E95" s="101" t="s">
        <v>182</v>
      </c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8" t="s">
        <v>140</v>
      </c>
      <c r="B96" s="99" t="s">
        <v>105</v>
      </c>
      <c r="C96" s="100">
        <v>224053</v>
      </c>
      <c r="D96" s="101" t="s">
        <v>181</v>
      </c>
      <c r="E96" s="101" t="s">
        <v>182</v>
      </c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>
      <c r="A97" s="98" t="s">
        <v>66</v>
      </c>
      <c r="B97" s="99" t="s">
        <v>105</v>
      </c>
      <c r="C97" s="100">
        <v>215715</v>
      </c>
      <c r="D97" s="101" t="s">
        <v>181</v>
      </c>
      <c r="E97" s="101" t="s">
        <v>182</v>
      </c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8" t="s">
        <v>129</v>
      </c>
      <c r="B98" s="99" t="s">
        <v>105</v>
      </c>
      <c r="C98" s="100">
        <v>215297</v>
      </c>
      <c r="D98" s="101" t="s">
        <v>181</v>
      </c>
      <c r="E98" s="101" t="s">
        <v>182</v>
      </c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8" t="s">
        <v>136</v>
      </c>
      <c r="B99" s="99" t="s">
        <v>105</v>
      </c>
      <c r="C99" s="100">
        <v>211965</v>
      </c>
      <c r="D99" s="101" t="s">
        <v>181</v>
      </c>
      <c r="E99" s="101" t="s">
        <v>182</v>
      </c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 hidden="1">
      <c r="A100" s="98" t="s">
        <v>132</v>
      </c>
      <c r="B100" s="99" t="s">
        <v>105</v>
      </c>
      <c r="C100" s="100">
        <v>209228</v>
      </c>
      <c r="D100" s="101" t="s">
        <v>181</v>
      </c>
      <c r="E100" s="101" t="s">
        <v>182</v>
      </c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>
      <c r="A101" s="98" t="s">
        <v>62</v>
      </c>
      <c r="B101" s="99" t="s">
        <v>105</v>
      </c>
      <c r="C101" s="100">
        <v>206040</v>
      </c>
      <c r="D101" s="101" t="s">
        <v>181</v>
      </c>
      <c r="E101" s="101" t="s">
        <v>182</v>
      </c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8" t="s">
        <v>138</v>
      </c>
      <c r="B102" s="99" t="s">
        <v>105</v>
      </c>
      <c r="C102" s="100">
        <v>194081</v>
      </c>
      <c r="D102" s="101" t="s">
        <v>181</v>
      </c>
      <c r="E102" s="101" t="s">
        <v>182</v>
      </c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>
      <c r="A103" s="98" t="s">
        <v>64</v>
      </c>
      <c r="B103" s="99" t="s">
        <v>105</v>
      </c>
      <c r="C103" s="100">
        <v>187168</v>
      </c>
      <c r="D103" s="101" t="s">
        <v>181</v>
      </c>
      <c r="E103" s="101" t="s">
        <v>182</v>
      </c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>
      <c r="A104" s="98" t="s">
        <v>57</v>
      </c>
      <c r="B104" s="99" t="s">
        <v>105</v>
      </c>
      <c r="C104" s="100">
        <v>183557</v>
      </c>
      <c r="D104" s="101" t="s">
        <v>181</v>
      </c>
      <c r="E104" s="101" t="s">
        <v>182</v>
      </c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8" t="s">
        <v>133</v>
      </c>
      <c r="B105" s="99" t="s">
        <v>105</v>
      </c>
      <c r="C105" s="100">
        <v>180594</v>
      </c>
      <c r="D105" s="101" t="s">
        <v>181</v>
      </c>
      <c r="E105" s="101" t="s">
        <v>182</v>
      </c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>
      <c r="A106" s="98" t="s">
        <v>61</v>
      </c>
      <c r="B106" s="99" t="s">
        <v>105</v>
      </c>
      <c r="C106" s="100">
        <v>180358</v>
      </c>
      <c r="D106" s="101" t="s">
        <v>181</v>
      </c>
      <c r="E106" s="101" t="s">
        <v>182</v>
      </c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8" t="s">
        <v>142</v>
      </c>
      <c r="B107" s="99" t="s">
        <v>105</v>
      </c>
      <c r="C107" s="100">
        <v>170966</v>
      </c>
      <c r="D107" s="101" t="s">
        <v>181</v>
      </c>
      <c r="E107" s="101" t="s">
        <v>182</v>
      </c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8" t="s">
        <v>139</v>
      </c>
      <c r="B108" s="99" t="s">
        <v>105</v>
      </c>
      <c r="C108" s="100">
        <v>166781</v>
      </c>
      <c r="D108" s="101" t="s">
        <v>181</v>
      </c>
      <c r="E108" s="101" t="s">
        <v>182</v>
      </c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>
      <c r="A109" s="98" t="s">
        <v>59</v>
      </c>
      <c r="B109" s="99" t="s">
        <v>105</v>
      </c>
      <c r="C109" s="100">
        <v>160879</v>
      </c>
      <c r="D109" s="101" t="s">
        <v>181</v>
      </c>
      <c r="E109" s="101" t="s">
        <v>182</v>
      </c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8" t="s">
        <v>145</v>
      </c>
      <c r="B110" s="99" t="s">
        <v>105</v>
      </c>
      <c r="C110" s="100">
        <v>159609</v>
      </c>
      <c r="D110" s="101" t="s">
        <v>181</v>
      </c>
      <c r="E110" s="101" t="s">
        <v>182</v>
      </c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 hidden="1">
      <c r="A111" s="98" t="s">
        <v>146</v>
      </c>
      <c r="B111" s="99" t="s">
        <v>105</v>
      </c>
      <c r="C111" s="100">
        <v>156979</v>
      </c>
      <c r="D111" s="101" t="s">
        <v>181</v>
      </c>
      <c r="E111" s="101" t="s">
        <v>182</v>
      </c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8" t="s">
        <v>135</v>
      </c>
      <c r="B112" s="99" t="s">
        <v>105</v>
      </c>
      <c r="C112" s="100">
        <v>156278</v>
      </c>
      <c r="D112" s="101" t="s">
        <v>181</v>
      </c>
      <c r="E112" s="101" t="s">
        <v>182</v>
      </c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8" t="s">
        <v>144</v>
      </c>
      <c r="B113" s="99" t="s">
        <v>105</v>
      </c>
      <c r="C113" s="100">
        <v>148591</v>
      </c>
      <c r="D113" s="101" t="s">
        <v>181</v>
      </c>
      <c r="E113" s="101" t="s">
        <v>182</v>
      </c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 hidden="1">
      <c r="A114" s="98" t="s">
        <v>134</v>
      </c>
      <c r="B114" s="99" t="s">
        <v>105</v>
      </c>
      <c r="C114" s="100">
        <v>147991</v>
      </c>
      <c r="D114" s="101" t="s">
        <v>181</v>
      </c>
      <c r="E114" s="101" t="s">
        <v>182</v>
      </c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8" t="s">
        <v>148</v>
      </c>
      <c r="B115" s="99" t="s">
        <v>105</v>
      </c>
      <c r="C115" s="100">
        <v>145768</v>
      </c>
      <c r="D115" s="101" t="s">
        <v>181</v>
      </c>
      <c r="E115" s="101" t="s">
        <v>182</v>
      </c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 hidden="1">
      <c r="A116" s="98" t="s">
        <v>137</v>
      </c>
      <c r="B116" s="99" t="s">
        <v>105</v>
      </c>
      <c r="C116" s="100">
        <v>143705</v>
      </c>
      <c r="D116" s="101" t="s">
        <v>181</v>
      </c>
      <c r="E116" s="101" t="s">
        <v>182</v>
      </c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>
      <c r="A117" s="98" t="s">
        <v>58</v>
      </c>
      <c r="B117" s="99" t="s">
        <v>105</v>
      </c>
      <c r="C117" s="100">
        <v>138272</v>
      </c>
      <c r="D117" s="101" t="s">
        <v>181</v>
      </c>
      <c r="E117" s="101" t="s">
        <v>182</v>
      </c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>
      <c r="A118" s="98" t="s">
        <v>60</v>
      </c>
      <c r="B118" s="99" t="s">
        <v>105</v>
      </c>
      <c r="C118" s="100">
        <v>136470</v>
      </c>
      <c r="D118" s="101" t="s">
        <v>181</v>
      </c>
      <c r="E118" s="101" t="s">
        <v>182</v>
      </c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>
      <c r="A119" s="98" t="s">
        <v>63</v>
      </c>
      <c r="B119" s="99" t="s">
        <v>105</v>
      </c>
      <c r="C119" s="100">
        <v>134477</v>
      </c>
      <c r="D119" s="101" t="s">
        <v>181</v>
      </c>
      <c r="E119" s="101" t="s">
        <v>182</v>
      </c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 hidden="1">
      <c r="A120" s="98" t="s">
        <v>141</v>
      </c>
      <c r="B120" s="99" t="s">
        <v>105</v>
      </c>
      <c r="C120" s="100">
        <v>120173</v>
      </c>
      <c r="D120" s="101" t="s">
        <v>181</v>
      </c>
      <c r="E120" s="101" t="s">
        <v>182</v>
      </c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>
      <c r="A121" s="98" t="s">
        <v>67</v>
      </c>
      <c r="B121" s="99" t="s">
        <v>105</v>
      </c>
      <c r="C121" s="100">
        <v>113837</v>
      </c>
      <c r="D121" s="101" t="s">
        <v>181</v>
      </c>
      <c r="E121" s="101" t="s">
        <v>182</v>
      </c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 hidden="1">
      <c r="A122" s="98" t="s">
        <v>150</v>
      </c>
      <c r="B122" s="99" t="s">
        <v>105</v>
      </c>
      <c r="C122" s="100">
        <v>105629</v>
      </c>
      <c r="D122" s="101" t="s">
        <v>181</v>
      </c>
      <c r="E122" s="101" t="s">
        <v>182</v>
      </c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 hidden="1">
      <c r="A123" s="98" t="s">
        <v>147</v>
      </c>
      <c r="B123" s="99" t="s">
        <v>105</v>
      </c>
      <c r="C123" s="100">
        <v>64589</v>
      </c>
      <c r="D123" s="101" t="s">
        <v>181</v>
      </c>
      <c r="E123" s="101" t="s">
        <v>182</v>
      </c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>
      <c r="A124" s="98" t="s">
        <v>65</v>
      </c>
      <c r="B124" s="99" t="s">
        <v>105</v>
      </c>
      <c r="C124" s="100">
        <v>62877</v>
      </c>
      <c r="D124" s="101" t="s">
        <v>181</v>
      </c>
      <c r="E124" s="101" t="s">
        <v>182</v>
      </c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>
      <c r="A125" s="98" t="s">
        <v>68</v>
      </c>
      <c r="B125" s="99" t="s">
        <v>105</v>
      </c>
      <c r="C125" s="100">
        <v>49881</v>
      </c>
      <c r="D125" s="101" t="s">
        <v>181</v>
      </c>
      <c r="E125" s="101" t="s">
        <v>182</v>
      </c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>
      <c r="A126" s="98" t="s">
        <v>69</v>
      </c>
      <c r="B126" s="99" t="s">
        <v>105</v>
      </c>
      <c r="C126" s="100">
        <v>48083</v>
      </c>
      <c r="D126" s="101" t="s">
        <v>181</v>
      </c>
      <c r="E126" s="101" t="s">
        <v>182</v>
      </c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>
      <c r="A127" s="98" t="s">
        <v>70</v>
      </c>
      <c r="B127" s="99" t="s">
        <v>105</v>
      </c>
      <c r="C127" s="100">
        <v>44856</v>
      </c>
      <c r="D127" s="101" t="s">
        <v>181</v>
      </c>
      <c r="E127" s="101" t="s">
        <v>182</v>
      </c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8" t="s">
        <v>149</v>
      </c>
      <c r="B128" s="99" t="s">
        <v>105</v>
      </c>
      <c r="C128" s="100">
        <v>35542</v>
      </c>
      <c r="D128" s="101" t="s">
        <v>181</v>
      </c>
      <c r="E128" s="101" t="s">
        <v>182</v>
      </c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>
      <c r="A129" s="98" t="s">
        <v>71</v>
      </c>
      <c r="B129" s="99" t="s">
        <v>105</v>
      </c>
      <c r="C129" s="100">
        <v>9556</v>
      </c>
      <c r="D129" s="101" t="s">
        <v>181</v>
      </c>
      <c r="E129" s="101" t="s">
        <v>182</v>
      </c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 hidden="1">
      <c r="A130" s="98" t="s">
        <v>151</v>
      </c>
      <c r="B130" s="99" t="s">
        <v>105</v>
      </c>
      <c r="C130" s="100">
        <v>8654</v>
      </c>
      <c r="D130" s="101" t="s">
        <v>181</v>
      </c>
      <c r="E130" s="101" t="s">
        <v>182</v>
      </c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8" t="s">
        <v>152</v>
      </c>
      <c r="B131" s="99" t="s">
        <v>105</v>
      </c>
      <c r="C131" s="100">
        <v>6663</v>
      </c>
      <c r="D131" s="101" t="s">
        <v>181</v>
      </c>
      <c r="E131" s="101" t="s">
        <v>182</v>
      </c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  <row r="1001" spans="1:26" ht="15" hidden="1">
      <c r="A1001" s="97"/>
      <c r="B1001" s="97"/>
      <c r="C1001" s="97"/>
      <c r="D1001" s="97"/>
      <c r="E1001" s="97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</row>
    <row r="1002" spans="1:26" ht="15" hidden="1">
      <c r="A1002" s="97"/>
      <c r="B1002" s="97"/>
      <c r="C1002" s="97"/>
      <c r="D1002" s="97"/>
      <c r="E1002" s="97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</row>
    <row r="1003" spans="1:26" ht="15" hidden="1">
      <c r="A1003" s="97"/>
      <c r="B1003" s="97"/>
      <c r="C1003" s="97"/>
      <c r="D1003" s="97"/>
      <c r="E1003" s="97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</row>
    <row r="1004" spans="1:26" ht="15" hidden="1">
      <c r="A1004" s="97"/>
      <c r="B1004" s="97"/>
      <c r="C1004" s="97"/>
      <c r="D1004" s="97"/>
      <c r="E1004" s="97"/>
      <c r="F1004" s="103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  <c r="W1004" s="103"/>
      <c r="X1004" s="103"/>
      <c r="Y1004" s="103"/>
      <c r="Z1004" s="103"/>
    </row>
    <row r="1005" spans="1:26" ht="15" hidden="1">
      <c r="A1005" s="97"/>
      <c r="B1005" s="97"/>
      <c r="C1005" s="97"/>
      <c r="D1005" s="97"/>
      <c r="E1005" s="97"/>
      <c r="F1005" s="103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103"/>
      <c r="Z1005" s="103"/>
    </row>
    <row r="1006" spans="1:26" ht="15" hidden="1">
      <c r="A1006" s="97"/>
      <c r="B1006" s="97"/>
      <c r="C1006" s="97"/>
      <c r="D1006" s="97"/>
      <c r="E1006" s="97"/>
      <c r="F1006" s="103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  <c r="W1006" s="103"/>
      <c r="X1006" s="103"/>
      <c r="Y1006" s="103"/>
      <c r="Z1006" s="103"/>
    </row>
    <row r="1007" spans="1:26" ht="15" hidden="1">
      <c r="A1007" s="97"/>
      <c r="B1007" s="97"/>
      <c r="C1007" s="97"/>
      <c r="D1007" s="97"/>
      <c r="E1007" s="97"/>
      <c r="F1007" s="103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3"/>
      <c r="V1007" s="103"/>
      <c r="W1007" s="103"/>
      <c r="X1007" s="103"/>
      <c r="Y1007" s="103"/>
      <c r="Z1007" s="103"/>
    </row>
    <row r="1008" spans="1:26" ht="15" hidden="1">
      <c r="A1008" s="97"/>
      <c r="B1008" s="97"/>
      <c r="C1008" s="97"/>
      <c r="D1008" s="97"/>
      <c r="E1008" s="97"/>
      <c r="F1008" s="103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3"/>
      <c r="V1008" s="103"/>
      <c r="W1008" s="103"/>
      <c r="X1008" s="103"/>
      <c r="Y1008" s="103"/>
      <c r="Z1008" s="103"/>
    </row>
    <row r="1009" spans="1:26" ht="15" hidden="1">
      <c r="A1009" s="97"/>
      <c r="B1009" s="97"/>
      <c r="C1009" s="97"/>
      <c r="D1009" s="97"/>
      <c r="E1009" s="97"/>
      <c r="F1009" s="103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3"/>
      <c r="V1009" s="103"/>
      <c r="W1009" s="103"/>
      <c r="X1009" s="103"/>
      <c r="Y1009" s="103"/>
      <c r="Z1009" s="103"/>
    </row>
    <row r="1010" spans="1:26" ht="15" hidden="1">
      <c r="A1010" s="97"/>
      <c r="B1010" s="97"/>
      <c r="C1010" s="97"/>
      <c r="D1010" s="97"/>
      <c r="E1010" s="97"/>
      <c r="F1010" s="103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3"/>
      <c r="V1010" s="103"/>
      <c r="W1010" s="103"/>
      <c r="X1010" s="103"/>
      <c r="Y1010" s="103"/>
      <c r="Z1010" s="103"/>
    </row>
    <row r="1011" spans="1:26" ht="15" hidden="1">
      <c r="A1011" s="97"/>
      <c r="B1011" s="97"/>
      <c r="C1011" s="97"/>
      <c r="D1011" s="97"/>
      <c r="E1011" s="97"/>
      <c r="F1011" s="103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3"/>
      <c r="V1011" s="103"/>
      <c r="W1011" s="103"/>
      <c r="X1011" s="103"/>
      <c r="Y1011" s="103"/>
      <c r="Z1011" s="103"/>
    </row>
    <row r="1012" spans="1:26" ht="15" hidden="1">
      <c r="A1012" s="97"/>
      <c r="B1012" s="97"/>
      <c r="C1012" s="97"/>
      <c r="D1012" s="97"/>
      <c r="E1012" s="97"/>
      <c r="F1012" s="103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3"/>
      <c r="V1012" s="103"/>
      <c r="W1012" s="103"/>
      <c r="X1012" s="103"/>
      <c r="Y1012" s="103"/>
      <c r="Z1012" s="103"/>
    </row>
    <row r="1013" spans="1:26" ht="15" hidden="1">
      <c r="A1013" s="97"/>
      <c r="B1013" s="97"/>
      <c r="C1013" s="97"/>
      <c r="D1013" s="97"/>
      <c r="E1013" s="97"/>
      <c r="F1013" s="103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3"/>
      <c r="V1013" s="103"/>
      <c r="W1013" s="103"/>
      <c r="X1013" s="103"/>
      <c r="Y1013" s="103"/>
      <c r="Z1013" s="103"/>
    </row>
    <row r="1014" spans="1:26" ht="15" hidden="1">
      <c r="A1014" s="97"/>
      <c r="B1014" s="97"/>
      <c r="C1014" s="97"/>
      <c r="D1014" s="97"/>
      <c r="E1014" s="97"/>
      <c r="F1014" s="103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3"/>
      <c r="V1014" s="103"/>
      <c r="W1014" s="103"/>
      <c r="X1014" s="103"/>
      <c r="Y1014" s="103"/>
      <c r="Z1014" s="103"/>
    </row>
    <row r="1015" spans="1:26" ht="15" hidden="1">
      <c r="A1015" s="97"/>
      <c r="B1015" s="97"/>
      <c r="C1015" s="97"/>
      <c r="D1015" s="97"/>
      <c r="E1015" s="97"/>
      <c r="F1015" s="103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3"/>
      <c r="V1015" s="103"/>
      <c r="W1015" s="103"/>
      <c r="X1015" s="103"/>
      <c r="Y1015" s="103"/>
      <c r="Z1015" s="103"/>
    </row>
    <row r="1016" spans="1:26" ht="15" hidden="1">
      <c r="A1016" s="97"/>
      <c r="B1016" s="97"/>
      <c r="C1016" s="97"/>
      <c r="D1016" s="97"/>
      <c r="E1016" s="97"/>
      <c r="F1016" s="103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3"/>
      <c r="V1016" s="103"/>
      <c r="W1016" s="103"/>
      <c r="X1016" s="103"/>
      <c r="Y1016" s="103"/>
      <c r="Z1016" s="103"/>
    </row>
    <row r="1017" spans="1:26" ht="15" hidden="1">
      <c r="A1017" s="97"/>
      <c r="B1017" s="97"/>
      <c r="C1017" s="97"/>
      <c r="D1017" s="97"/>
      <c r="E1017" s="97"/>
      <c r="F1017" s="103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3"/>
      <c r="V1017" s="103"/>
      <c r="W1017" s="103"/>
      <c r="X1017" s="103"/>
      <c r="Y1017" s="103"/>
      <c r="Z1017" s="103"/>
    </row>
    <row r="1018" spans="1:26" ht="15" hidden="1">
      <c r="A1018" s="97"/>
      <c r="B1018" s="97"/>
      <c r="C1018" s="97"/>
      <c r="D1018" s="97"/>
      <c r="E1018" s="97"/>
      <c r="F1018" s="103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3"/>
      <c r="V1018" s="103"/>
      <c r="W1018" s="103"/>
      <c r="X1018" s="103"/>
      <c r="Y1018" s="103"/>
      <c r="Z1018" s="103"/>
    </row>
    <row r="1019" spans="1:26" ht="15" hidden="1">
      <c r="A1019" s="97"/>
      <c r="B1019" s="97"/>
      <c r="C1019" s="97"/>
      <c r="D1019" s="97"/>
      <c r="E1019" s="97"/>
      <c r="F1019" s="103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3"/>
      <c r="V1019" s="103"/>
      <c r="W1019" s="103"/>
      <c r="X1019" s="103"/>
      <c r="Y1019" s="103"/>
      <c r="Z1019" s="103"/>
    </row>
    <row r="1020" spans="1:26" ht="15" hidden="1">
      <c r="A1020" s="97"/>
      <c r="B1020" s="97"/>
      <c r="C1020" s="97"/>
      <c r="D1020" s="97"/>
      <c r="E1020" s="97"/>
      <c r="F1020" s="103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3"/>
      <c r="V1020" s="103"/>
      <c r="W1020" s="103"/>
      <c r="X1020" s="103"/>
      <c r="Y1020" s="103"/>
      <c r="Z1020" s="103"/>
    </row>
    <row r="1021" spans="1:26" ht="15" hidden="1">
      <c r="A1021" s="97"/>
      <c r="B1021" s="97"/>
      <c r="C1021" s="97"/>
      <c r="D1021" s="97"/>
      <c r="E1021" s="97"/>
      <c r="F1021" s="103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3"/>
      <c r="V1021" s="103"/>
      <c r="W1021" s="103"/>
      <c r="X1021" s="103"/>
      <c r="Y1021" s="103"/>
      <c r="Z1021" s="103"/>
    </row>
    <row r="1022" spans="1:26" ht="15" hidden="1">
      <c r="A1022" s="97"/>
      <c r="B1022" s="97"/>
      <c r="C1022" s="97"/>
      <c r="D1022" s="97"/>
      <c r="E1022" s="97"/>
      <c r="F1022" s="103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3"/>
      <c r="V1022" s="103"/>
      <c r="W1022" s="103"/>
      <c r="X1022" s="103"/>
      <c r="Y1022" s="103"/>
      <c r="Z1022" s="103"/>
    </row>
    <row r="1023" spans="1:26" ht="15" hidden="1">
      <c r="A1023" s="97"/>
      <c r="B1023" s="97"/>
      <c r="C1023" s="97"/>
      <c r="D1023" s="97"/>
      <c r="E1023" s="97"/>
      <c r="F1023" s="103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3"/>
      <c r="V1023" s="103"/>
      <c r="W1023" s="103"/>
      <c r="X1023" s="103"/>
      <c r="Y1023" s="103"/>
      <c r="Z1023" s="103"/>
    </row>
    <row r="1024" spans="1:26" ht="15" hidden="1">
      <c r="A1024" s="97"/>
      <c r="B1024" s="97"/>
      <c r="C1024" s="97"/>
      <c r="D1024" s="97"/>
      <c r="E1024" s="97"/>
      <c r="F1024" s="103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3"/>
      <c r="V1024" s="103"/>
      <c r="W1024" s="103"/>
      <c r="X1024" s="103"/>
      <c r="Y1024" s="103"/>
      <c r="Z1024" s="103"/>
    </row>
    <row r="1025" spans="1:26" ht="15" hidden="1">
      <c r="A1025" s="97"/>
      <c r="B1025" s="97"/>
      <c r="C1025" s="97"/>
      <c r="D1025" s="97"/>
      <c r="E1025" s="97"/>
      <c r="F1025" s="103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3"/>
      <c r="V1025" s="103"/>
      <c r="W1025" s="103"/>
      <c r="X1025" s="103"/>
      <c r="Y1025" s="103"/>
      <c r="Z1025" s="103"/>
    </row>
    <row r="1026" spans="1:26" ht="15" hidden="1">
      <c r="A1026" s="97"/>
      <c r="B1026" s="97"/>
      <c r="C1026" s="97"/>
      <c r="D1026" s="97"/>
      <c r="E1026" s="97"/>
      <c r="F1026" s="103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3"/>
      <c r="V1026" s="103"/>
      <c r="W1026" s="103"/>
      <c r="X1026" s="103"/>
      <c r="Y1026" s="103"/>
      <c r="Z1026" s="103"/>
    </row>
    <row r="1027" spans="1:26" ht="15" hidden="1">
      <c r="A1027" s="97"/>
      <c r="B1027" s="97"/>
      <c r="C1027" s="97"/>
      <c r="D1027" s="97"/>
      <c r="E1027" s="97"/>
      <c r="F1027" s="103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3"/>
      <c r="V1027" s="103"/>
      <c r="W1027" s="103"/>
      <c r="X1027" s="103"/>
      <c r="Y1027" s="103"/>
      <c r="Z1027" s="103"/>
    </row>
    <row r="1028" spans="1:26" ht="15" hidden="1">
      <c r="A1028" s="97"/>
      <c r="B1028" s="97"/>
      <c r="C1028" s="97"/>
      <c r="D1028" s="97"/>
      <c r="E1028" s="97"/>
      <c r="F1028" s="103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3"/>
      <c r="V1028" s="103"/>
      <c r="W1028" s="103"/>
      <c r="X1028" s="103"/>
      <c r="Y1028" s="103"/>
      <c r="Z1028" s="103"/>
    </row>
    <row r="1029" spans="1:26" ht="15" hidden="1">
      <c r="A1029" s="97"/>
      <c r="B1029" s="97"/>
      <c r="C1029" s="97"/>
      <c r="D1029" s="97"/>
      <c r="E1029" s="97"/>
      <c r="F1029" s="103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3"/>
      <c r="V1029" s="103"/>
      <c r="W1029" s="103"/>
      <c r="X1029" s="103"/>
      <c r="Y1029" s="103"/>
      <c r="Z1029" s="103"/>
    </row>
    <row r="1030" spans="1:26" ht="15" hidden="1">
      <c r="A1030" s="97"/>
      <c r="B1030" s="97"/>
      <c r="C1030" s="97"/>
      <c r="D1030" s="97"/>
      <c r="E1030" s="97"/>
      <c r="F1030" s="103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3"/>
      <c r="V1030" s="103"/>
      <c r="W1030" s="103"/>
      <c r="X1030" s="103"/>
      <c r="Y1030" s="103"/>
      <c r="Z1030" s="103"/>
    </row>
    <row r="1031" spans="1:26" ht="15" hidden="1">
      <c r="A1031" s="97"/>
      <c r="B1031" s="97"/>
      <c r="C1031" s="97"/>
      <c r="D1031" s="97"/>
      <c r="E1031" s="97"/>
      <c r="F1031" s="103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3"/>
      <c r="V1031" s="103"/>
      <c r="W1031" s="103"/>
      <c r="X1031" s="103"/>
      <c r="Y1031" s="103"/>
      <c r="Z1031" s="103"/>
    </row>
    <row r="1032" spans="1:26" ht="15" hidden="1">
      <c r="A1032" s="97"/>
      <c r="B1032" s="97"/>
      <c r="C1032" s="97"/>
      <c r="D1032" s="97"/>
      <c r="E1032" s="97"/>
      <c r="F1032" s="103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3"/>
      <c r="V1032" s="103"/>
      <c r="W1032" s="103"/>
      <c r="X1032" s="103"/>
      <c r="Y1032" s="103"/>
      <c r="Z1032" s="103"/>
    </row>
    <row r="1033" spans="1:26" ht="15" hidden="1">
      <c r="A1033" s="97"/>
      <c r="B1033" s="97"/>
      <c r="C1033" s="97"/>
      <c r="D1033" s="97"/>
      <c r="E1033" s="97"/>
      <c r="F1033" s="103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3"/>
      <c r="V1033" s="103"/>
      <c r="W1033" s="103"/>
      <c r="X1033" s="103"/>
      <c r="Y1033" s="103"/>
      <c r="Z1033" s="103"/>
    </row>
    <row r="1034" spans="1:26" ht="15" hidden="1">
      <c r="A1034" s="97"/>
      <c r="B1034" s="97"/>
      <c r="C1034" s="97"/>
      <c r="D1034" s="97"/>
      <c r="E1034" s="97"/>
      <c r="F1034" s="103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3"/>
      <c r="V1034" s="103"/>
      <c r="W1034" s="103"/>
      <c r="X1034" s="103"/>
      <c r="Y1034" s="103"/>
      <c r="Z1034" s="103"/>
    </row>
    <row r="1035" spans="1:26" ht="15" hidden="1">
      <c r="A1035" s="97"/>
      <c r="B1035" s="97"/>
      <c r="C1035" s="97"/>
      <c r="D1035" s="97"/>
      <c r="E1035" s="97"/>
      <c r="F1035" s="103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3"/>
      <c r="V1035" s="103"/>
      <c r="W1035" s="103"/>
      <c r="X1035" s="103"/>
      <c r="Y1035" s="103"/>
      <c r="Z1035" s="103"/>
    </row>
    <row r="1036" spans="1:26" ht="15" hidden="1">
      <c r="A1036" s="97"/>
      <c r="B1036" s="97"/>
      <c r="C1036" s="97"/>
      <c r="D1036" s="97"/>
      <c r="E1036" s="97"/>
      <c r="F1036" s="103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3"/>
      <c r="V1036" s="103"/>
      <c r="W1036" s="103"/>
      <c r="X1036" s="103"/>
      <c r="Y1036" s="103"/>
      <c r="Z1036" s="103"/>
    </row>
    <row r="1037" spans="1:26" ht="15" hidden="1">
      <c r="A1037" s="97"/>
      <c r="B1037" s="97"/>
      <c r="C1037" s="97"/>
      <c r="D1037" s="97"/>
      <c r="E1037" s="97"/>
      <c r="F1037" s="103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3"/>
      <c r="V1037" s="103"/>
      <c r="W1037" s="103"/>
      <c r="X1037" s="103"/>
      <c r="Y1037" s="103"/>
      <c r="Z1037" s="103"/>
    </row>
    <row r="1038" spans="1:26" ht="15" hidden="1">
      <c r="A1038" s="97"/>
      <c r="B1038" s="97"/>
      <c r="C1038" s="97"/>
      <c r="D1038" s="97"/>
      <c r="E1038" s="97"/>
      <c r="F1038" s="103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3"/>
      <c r="V1038" s="103"/>
      <c r="W1038" s="103"/>
      <c r="X1038" s="103"/>
      <c r="Y1038" s="103"/>
      <c r="Z1038" s="103"/>
    </row>
    <row r="1039" spans="1:26" ht="15" hidden="1">
      <c r="A1039" s="97"/>
      <c r="B1039" s="97"/>
      <c r="C1039" s="97"/>
      <c r="D1039" s="97"/>
      <c r="E1039" s="97"/>
      <c r="F1039" s="103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3"/>
      <c r="V1039" s="103"/>
      <c r="W1039" s="103"/>
      <c r="X1039" s="103"/>
      <c r="Y1039" s="103"/>
      <c r="Z1039" s="103"/>
    </row>
    <row r="1040" spans="1:26" ht="15" hidden="1">
      <c r="A1040" s="97"/>
      <c r="B1040" s="97"/>
      <c r="C1040" s="97"/>
      <c r="D1040" s="97"/>
      <c r="E1040" s="97"/>
      <c r="F1040" s="103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3"/>
      <c r="V1040" s="103"/>
      <c r="W1040" s="103"/>
      <c r="X1040" s="103"/>
      <c r="Y1040" s="103"/>
      <c r="Z1040" s="103"/>
    </row>
    <row r="1041" spans="1:26" ht="15" hidden="1">
      <c r="A1041" s="97"/>
      <c r="B1041" s="97"/>
      <c r="C1041" s="97"/>
      <c r="D1041" s="97"/>
      <c r="E1041" s="97"/>
      <c r="F1041" s="103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3"/>
      <c r="V1041" s="103"/>
      <c r="W1041" s="103"/>
      <c r="X1041" s="103"/>
      <c r="Y1041" s="103"/>
      <c r="Z1041" s="103"/>
    </row>
    <row r="1042" spans="1:26" ht="15" hidden="1">
      <c r="A1042" s="97"/>
      <c r="B1042" s="97"/>
      <c r="C1042" s="97"/>
      <c r="D1042" s="97"/>
      <c r="E1042" s="97"/>
      <c r="F1042" s="103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3"/>
      <c r="V1042" s="103"/>
      <c r="W1042" s="103"/>
      <c r="X1042" s="103"/>
      <c r="Y1042" s="103"/>
      <c r="Z1042" s="103"/>
    </row>
    <row r="1043" spans="1:26" ht="15" hidden="1">
      <c r="A1043" s="97"/>
      <c r="B1043" s="97"/>
      <c r="C1043" s="97"/>
      <c r="D1043" s="97"/>
      <c r="E1043" s="97"/>
      <c r="F1043" s="103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3"/>
      <c r="V1043" s="103"/>
      <c r="W1043" s="103"/>
      <c r="X1043" s="103"/>
      <c r="Y1043" s="103"/>
      <c r="Z1043" s="103"/>
    </row>
    <row r="1044" spans="1:26" ht="15" hidden="1">
      <c r="A1044" s="97"/>
      <c r="B1044" s="97"/>
      <c r="C1044" s="97"/>
      <c r="D1044" s="97"/>
      <c r="E1044" s="97"/>
      <c r="F1044" s="103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3"/>
      <c r="V1044" s="103"/>
      <c r="W1044" s="103"/>
      <c r="X1044" s="103"/>
      <c r="Y1044" s="103"/>
      <c r="Z1044" s="103"/>
    </row>
    <row r="1045" spans="1:26" ht="15" hidden="1">
      <c r="A1045" s="97"/>
      <c r="B1045" s="97"/>
      <c r="C1045" s="97"/>
      <c r="D1045" s="97"/>
      <c r="E1045" s="97"/>
      <c r="F1045" s="103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3"/>
      <c r="V1045" s="103"/>
      <c r="W1045" s="103"/>
      <c r="X1045" s="103"/>
      <c r="Y1045" s="103"/>
      <c r="Z1045" s="103"/>
    </row>
    <row r="1046" spans="1:26" ht="15" hidden="1">
      <c r="A1046" s="97"/>
      <c r="B1046" s="97"/>
      <c r="C1046" s="97"/>
      <c r="D1046" s="97"/>
      <c r="E1046" s="97"/>
      <c r="F1046" s="103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3"/>
      <c r="V1046" s="103"/>
      <c r="W1046" s="103"/>
      <c r="X1046" s="103"/>
      <c r="Y1046" s="103"/>
      <c r="Z1046" s="103"/>
    </row>
    <row r="1047" spans="1:26" ht="15" hidden="1">
      <c r="A1047" s="97"/>
      <c r="B1047" s="97"/>
      <c r="C1047" s="97"/>
      <c r="D1047" s="97"/>
      <c r="E1047" s="97"/>
      <c r="F1047" s="103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3"/>
      <c r="V1047" s="103"/>
      <c r="W1047" s="103"/>
      <c r="X1047" s="103"/>
      <c r="Y1047" s="103"/>
      <c r="Z1047" s="103"/>
    </row>
    <row r="1048" spans="1:26" ht="15" hidden="1">
      <c r="A1048" s="97"/>
      <c r="B1048" s="97"/>
      <c r="C1048" s="97"/>
      <c r="D1048" s="97"/>
      <c r="E1048" s="97"/>
      <c r="F1048" s="103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3"/>
      <c r="V1048" s="103"/>
      <c r="W1048" s="103"/>
      <c r="X1048" s="103"/>
      <c r="Y1048" s="103"/>
      <c r="Z1048" s="103"/>
    </row>
    <row r="1049" spans="1:26" ht="15" hidden="1">
      <c r="A1049" s="97"/>
      <c r="B1049" s="97"/>
      <c r="C1049" s="97"/>
      <c r="D1049" s="97"/>
      <c r="E1049" s="97"/>
      <c r="F1049" s="103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3"/>
      <c r="V1049" s="103"/>
      <c r="W1049" s="103"/>
      <c r="X1049" s="103"/>
      <c r="Y1049" s="103"/>
      <c r="Z1049" s="103"/>
    </row>
    <row r="1050" spans="1:26" ht="15" hidden="1">
      <c r="A1050" s="97"/>
      <c r="B1050" s="97"/>
      <c r="C1050" s="97"/>
      <c r="D1050" s="97"/>
      <c r="E1050" s="97"/>
      <c r="F1050" s="103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3"/>
      <c r="V1050" s="103"/>
      <c r="W1050" s="103"/>
      <c r="X1050" s="103"/>
      <c r="Y1050" s="103"/>
      <c r="Z1050" s="103"/>
    </row>
    <row r="1051" spans="1:26" ht="15" hidden="1">
      <c r="A1051" s="97"/>
      <c r="B1051" s="97"/>
      <c r="C1051" s="97"/>
      <c r="D1051" s="97"/>
      <c r="E1051" s="97"/>
      <c r="F1051" s="103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3"/>
      <c r="V1051" s="103"/>
      <c r="W1051" s="103"/>
      <c r="X1051" s="103"/>
      <c r="Y1051" s="103"/>
      <c r="Z1051" s="103"/>
    </row>
    <row r="1052" spans="1:26" ht="15" hidden="1">
      <c r="A1052" s="97"/>
      <c r="B1052" s="97"/>
      <c r="C1052" s="97"/>
      <c r="D1052" s="97"/>
      <c r="E1052" s="97"/>
      <c r="F1052" s="103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3"/>
      <c r="V1052" s="103"/>
      <c r="W1052" s="103"/>
      <c r="X1052" s="103"/>
      <c r="Y1052" s="103"/>
      <c r="Z1052" s="103"/>
    </row>
    <row r="1053" spans="1:26" ht="15" hidden="1">
      <c r="A1053" s="97"/>
      <c r="B1053" s="97"/>
      <c r="C1053" s="97"/>
      <c r="D1053" s="97"/>
      <c r="E1053" s="97"/>
      <c r="F1053" s="103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3"/>
      <c r="V1053" s="103"/>
      <c r="W1053" s="103"/>
      <c r="X1053" s="103"/>
      <c r="Y1053" s="103"/>
      <c r="Z1053" s="103"/>
    </row>
    <row r="1054" spans="1:26" ht="15" hidden="1">
      <c r="A1054" s="97"/>
      <c r="B1054" s="97"/>
      <c r="C1054" s="97"/>
      <c r="D1054" s="97"/>
      <c r="E1054" s="97"/>
      <c r="F1054" s="103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3"/>
      <c r="V1054" s="103"/>
      <c r="W1054" s="103"/>
      <c r="X1054" s="103"/>
      <c r="Y1054" s="103"/>
      <c r="Z1054" s="103"/>
    </row>
    <row r="1055" spans="1:26" ht="15" hidden="1">
      <c r="A1055" s="97"/>
      <c r="B1055" s="97"/>
      <c r="C1055" s="97"/>
      <c r="D1055" s="97"/>
      <c r="E1055" s="97"/>
      <c r="F1055" s="103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3"/>
      <c r="V1055" s="103"/>
      <c r="W1055" s="103"/>
      <c r="X1055" s="103"/>
      <c r="Y1055" s="103"/>
      <c r="Z1055" s="103"/>
    </row>
    <row r="1056" spans="1:26" ht="15" hidden="1">
      <c r="A1056" s="97"/>
      <c r="B1056" s="97"/>
      <c r="C1056" s="97"/>
      <c r="D1056" s="97"/>
      <c r="E1056" s="97"/>
      <c r="F1056" s="103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3"/>
      <c r="V1056" s="103"/>
      <c r="W1056" s="103"/>
      <c r="X1056" s="103"/>
      <c r="Y1056" s="103"/>
      <c r="Z1056" s="103"/>
    </row>
    <row r="1057" spans="1:26" ht="15" hidden="1">
      <c r="A1057" s="97"/>
      <c r="B1057" s="97"/>
      <c r="C1057" s="97"/>
      <c r="D1057" s="97"/>
      <c r="E1057" s="97"/>
      <c r="F1057" s="103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3"/>
      <c r="V1057" s="103"/>
      <c r="W1057" s="103"/>
      <c r="X1057" s="103"/>
      <c r="Y1057" s="103"/>
      <c r="Z1057" s="103"/>
    </row>
    <row r="1058" spans="1:26" ht="15" hidden="1">
      <c r="A1058" s="97"/>
      <c r="B1058" s="97"/>
      <c r="C1058" s="97"/>
      <c r="D1058" s="97"/>
      <c r="E1058" s="97"/>
      <c r="F1058" s="103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3"/>
      <c r="V1058" s="103"/>
      <c r="W1058" s="103"/>
      <c r="X1058" s="103"/>
      <c r="Y1058" s="103"/>
      <c r="Z1058" s="103"/>
    </row>
    <row r="1059" spans="1:26" ht="15" hidden="1">
      <c r="A1059" s="97"/>
      <c r="B1059" s="97"/>
      <c r="C1059" s="97"/>
      <c r="D1059" s="97"/>
      <c r="E1059" s="97"/>
      <c r="F1059" s="103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3"/>
      <c r="V1059" s="103"/>
      <c r="W1059" s="103"/>
      <c r="X1059" s="103"/>
      <c r="Y1059" s="103"/>
      <c r="Z1059" s="103"/>
    </row>
    <row r="1060" spans="1:26" ht="15" hidden="1">
      <c r="A1060" s="97"/>
      <c r="B1060" s="97"/>
      <c r="C1060" s="97"/>
      <c r="D1060" s="97"/>
      <c r="E1060" s="97"/>
      <c r="F1060" s="103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3"/>
      <c r="V1060" s="103"/>
      <c r="W1060" s="103"/>
      <c r="X1060" s="103"/>
      <c r="Y1060" s="103"/>
      <c r="Z1060" s="103"/>
    </row>
    <row r="1061" spans="1:26" ht="15" hidden="1">
      <c r="A1061" s="97"/>
      <c r="B1061" s="97"/>
      <c r="C1061" s="97"/>
      <c r="D1061" s="97"/>
      <c r="E1061" s="97"/>
      <c r="F1061" s="103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3"/>
      <c r="V1061" s="103"/>
      <c r="W1061" s="103"/>
      <c r="X1061" s="103"/>
      <c r="Y1061" s="103"/>
      <c r="Z1061" s="103"/>
    </row>
    <row r="1062" spans="1:26" ht="15" hidden="1">
      <c r="A1062" s="97"/>
      <c r="B1062" s="97"/>
      <c r="C1062" s="97"/>
      <c r="D1062" s="97"/>
      <c r="E1062" s="97"/>
      <c r="F1062" s="103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3"/>
      <c r="V1062" s="103"/>
      <c r="W1062" s="103"/>
      <c r="X1062" s="103"/>
      <c r="Y1062" s="103"/>
      <c r="Z1062" s="103"/>
    </row>
    <row r="1063" spans="1:26" ht="15" hidden="1">
      <c r="A1063" s="97"/>
      <c r="B1063" s="97"/>
      <c r="C1063" s="97"/>
      <c r="D1063" s="97"/>
      <c r="E1063" s="97"/>
      <c r="F1063" s="103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3"/>
      <c r="V1063" s="103"/>
      <c r="W1063" s="103"/>
      <c r="X1063" s="103"/>
      <c r="Y1063" s="103"/>
      <c r="Z1063" s="103"/>
    </row>
    <row r="1064" spans="1:26" ht="15" hidden="1">
      <c r="A1064" s="97"/>
      <c r="B1064" s="97"/>
      <c r="C1064" s="97"/>
      <c r="D1064" s="97"/>
      <c r="E1064" s="97"/>
      <c r="F1064" s="103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3"/>
      <c r="V1064" s="103"/>
      <c r="W1064" s="103"/>
      <c r="X1064" s="103"/>
      <c r="Y1064" s="103"/>
      <c r="Z1064" s="103"/>
    </row>
    <row r="1065" spans="1:26" ht="15" hidden="1">
      <c r="A1065" s="97"/>
      <c r="B1065" s="97"/>
      <c r="C1065" s="97"/>
      <c r="D1065" s="97"/>
      <c r="E1065" s="97"/>
      <c r="F1065" s="103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3"/>
      <c r="V1065" s="103"/>
      <c r="W1065" s="103"/>
      <c r="X1065" s="103"/>
      <c r="Y1065" s="103"/>
      <c r="Z1065" s="103"/>
    </row>
  </sheetData>
  <autoFilter ref="A1:Z1065" xr:uid="{00000000-0009-0000-0000-00000B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Z1000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844333685</v>
      </c>
      <c r="D2" s="101" t="s">
        <v>183</v>
      </c>
      <c r="E2" s="101" t="s">
        <v>184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240707046</v>
      </c>
      <c r="D3" s="101" t="s">
        <v>183</v>
      </c>
      <c r="E3" s="101" t="s">
        <v>184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142070891</v>
      </c>
      <c r="D4" s="101" t="s">
        <v>183</v>
      </c>
      <c r="E4" s="101" t="s">
        <v>184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30366494</v>
      </c>
      <c r="D5" s="101" t="s">
        <v>183</v>
      </c>
      <c r="E5" s="101" t="s">
        <v>184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 hidden="1">
      <c r="A6" s="98" t="s">
        <v>111</v>
      </c>
      <c r="B6" s="99" t="s">
        <v>105</v>
      </c>
      <c r="C6" s="100">
        <v>20501197</v>
      </c>
      <c r="D6" s="101" t="s">
        <v>183</v>
      </c>
      <c r="E6" s="101" t="s">
        <v>184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>
      <c r="A7" s="98" t="s">
        <v>54</v>
      </c>
      <c r="B7" s="99" t="s">
        <v>105</v>
      </c>
      <c r="C7" s="100">
        <v>20123573</v>
      </c>
      <c r="D7" s="101" t="s">
        <v>183</v>
      </c>
      <c r="E7" s="101" t="s">
        <v>184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 hidden="1">
      <c r="A8" s="98" t="s">
        <v>112</v>
      </c>
      <c r="B8" s="99" t="s">
        <v>105</v>
      </c>
      <c r="C8" s="100">
        <v>17348590</v>
      </c>
      <c r="D8" s="101" t="s">
        <v>183</v>
      </c>
      <c r="E8" s="101" t="s">
        <v>184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115</v>
      </c>
      <c r="B9" s="99" t="s">
        <v>105</v>
      </c>
      <c r="C9" s="100">
        <v>16690913</v>
      </c>
      <c r="D9" s="101" t="s">
        <v>183</v>
      </c>
      <c r="E9" s="101" t="s">
        <v>184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114</v>
      </c>
      <c r="B10" s="99" t="s">
        <v>105</v>
      </c>
      <c r="C10" s="100">
        <v>16079503</v>
      </c>
      <c r="D10" s="101" t="s">
        <v>183</v>
      </c>
      <c r="E10" s="101" t="s">
        <v>184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 hidden="1">
      <c r="A11" s="98" t="s">
        <v>110</v>
      </c>
      <c r="B11" s="99" t="s">
        <v>105</v>
      </c>
      <c r="C11" s="100">
        <v>15776637</v>
      </c>
      <c r="D11" s="101" t="s">
        <v>183</v>
      </c>
      <c r="E11" s="101" t="s">
        <v>184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>
      <c r="A12" s="98" t="s">
        <v>55</v>
      </c>
      <c r="B12" s="99" t="s">
        <v>105</v>
      </c>
      <c r="C12" s="100">
        <v>14746553</v>
      </c>
      <c r="D12" s="101" t="s">
        <v>183</v>
      </c>
      <c r="E12" s="101" t="s">
        <v>184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 hidden="1">
      <c r="A13" s="98" t="s">
        <v>113</v>
      </c>
      <c r="B13" s="99" t="s">
        <v>105</v>
      </c>
      <c r="C13" s="100">
        <v>14222987</v>
      </c>
      <c r="D13" s="101" t="s">
        <v>183</v>
      </c>
      <c r="E13" s="101" t="s">
        <v>184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 hidden="1">
      <c r="A14" s="98" t="s">
        <v>121</v>
      </c>
      <c r="B14" s="99" t="s">
        <v>105</v>
      </c>
      <c r="C14" s="100">
        <v>11783852</v>
      </c>
      <c r="D14" s="101" t="s">
        <v>183</v>
      </c>
      <c r="E14" s="101" t="s">
        <v>184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 hidden="1">
      <c r="A15" s="98" t="s">
        <v>122</v>
      </c>
      <c r="B15" s="99" t="s">
        <v>105</v>
      </c>
      <c r="C15" s="100">
        <v>11593338</v>
      </c>
      <c r="D15" s="101" t="s">
        <v>183</v>
      </c>
      <c r="E15" s="101" t="s">
        <v>184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120</v>
      </c>
      <c r="B16" s="99" t="s">
        <v>105</v>
      </c>
      <c r="C16" s="100">
        <v>11536613</v>
      </c>
      <c r="D16" s="101" t="s">
        <v>183</v>
      </c>
      <c r="E16" s="101" t="s">
        <v>184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118</v>
      </c>
      <c r="B17" s="99" t="s">
        <v>105</v>
      </c>
      <c r="C17" s="100">
        <v>11033298</v>
      </c>
      <c r="D17" s="101" t="s">
        <v>183</v>
      </c>
      <c r="E17" s="101" t="s">
        <v>184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>
      <c r="A18" s="98" t="s">
        <v>56</v>
      </c>
      <c r="B18" s="99" t="s">
        <v>105</v>
      </c>
      <c r="C18" s="100">
        <v>10714024</v>
      </c>
      <c r="D18" s="101" t="s">
        <v>183</v>
      </c>
      <c r="E18" s="101" t="s">
        <v>184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117</v>
      </c>
      <c r="B19" s="99" t="s">
        <v>105</v>
      </c>
      <c r="C19" s="100">
        <v>10575600</v>
      </c>
      <c r="D19" s="101" t="s">
        <v>183</v>
      </c>
      <c r="E19" s="101" t="s">
        <v>184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116</v>
      </c>
      <c r="B20" s="99" t="s">
        <v>105</v>
      </c>
      <c r="C20" s="100">
        <v>10119836</v>
      </c>
      <c r="D20" s="101" t="s">
        <v>183</v>
      </c>
      <c r="E20" s="101" t="s">
        <v>184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127</v>
      </c>
      <c r="B21" s="99" t="s">
        <v>105</v>
      </c>
      <c r="C21" s="100">
        <v>9341031</v>
      </c>
      <c r="D21" s="101" t="s">
        <v>183</v>
      </c>
      <c r="E21" s="101" t="s">
        <v>184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119</v>
      </c>
      <c r="B22" s="99" t="s">
        <v>105</v>
      </c>
      <c r="C22" s="100">
        <v>9329352</v>
      </c>
      <c r="D22" s="101" t="s">
        <v>183</v>
      </c>
      <c r="E22" s="101" t="s">
        <v>184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124</v>
      </c>
      <c r="B23" s="99" t="s">
        <v>105</v>
      </c>
      <c r="C23" s="100">
        <v>9290224</v>
      </c>
      <c r="D23" s="101" t="s">
        <v>183</v>
      </c>
      <c r="E23" s="101" t="s">
        <v>184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128</v>
      </c>
      <c r="B24" s="99" t="s">
        <v>105</v>
      </c>
      <c r="C24" s="100">
        <v>9176954</v>
      </c>
      <c r="D24" s="101" t="s">
        <v>183</v>
      </c>
      <c r="E24" s="101" t="s">
        <v>184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126</v>
      </c>
      <c r="B25" s="99" t="s">
        <v>105</v>
      </c>
      <c r="C25" s="100">
        <v>8891198</v>
      </c>
      <c r="D25" s="101" t="s">
        <v>183</v>
      </c>
      <c r="E25" s="101" t="s">
        <v>184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125</v>
      </c>
      <c r="B26" s="99" t="s">
        <v>105</v>
      </c>
      <c r="C26" s="100">
        <v>7993235</v>
      </c>
      <c r="D26" s="101" t="s">
        <v>183</v>
      </c>
      <c r="E26" s="101" t="s">
        <v>184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136</v>
      </c>
      <c r="B27" s="99" t="s">
        <v>105</v>
      </c>
      <c r="C27" s="100">
        <v>6994636</v>
      </c>
      <c r="D27" s="101" t="s">
        <v>183</v>
      </c>
      <c r="E27" s="101" t="s">
        <v>184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123</v>
      </c>
      <c r="B28" s="99" t="s">
        <v>105</v>
      </c>
      <c r="C28" s="100">
        <v>6974597</v>
      </c>
      <c r="D28" s="101" t="s">
        <v>183</v>
      </c>
      <c r="E28" s="101" t="s">
        <v>184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>
      <c r="A29" s="98" t="s">
        <v>57</v>
      </c>
      <c r="B29" s="99" t="s">
        <v>105</v>
      </c>
      <c r="C29" s="100">
        <v>6786785</v>
      </c>
      <c r="D29" s="101" t="s">
        <v>183</v>
      </c>
      <c r="E29" s="101" t="s">
        <v>184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 hidden="1">
      <c r="A30" s="98" t="s">
        <v>130</v>
      </c>
      <c r="B30" s="99" t="s">
        <v>105</v>
      </c>
      <c r="C30" s="100">
        <v>6771051</v>
      </c>
      <c r="D30" s="101" t="s">
        <v>183</v>
      </c>
      <c r="E30" s="101" t="s">
        <v>184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 hidden="1">
      <c r="A31" s="98" t="s">
        <v>129</v>
      </c>
      <c r="B31" s="99" t="s">
        <v>105</v>
      </c>
      <c r="C31" s="100">
        <v>6086230</v>
      </c>
      <c r="D31" s="101" t="s">
        <v>183</v>
      </c>
      <c r="E31" s="101" t="s">
        <v>184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 hidden="1">
      <c r="A32" s="98" t="s">
        <v>131</v>
      </c>
      <c r="B32" s="99" t="s">
        <v>105</v>
      </c>
      <c r="C32" s="100">
        <v>5860280</v>
      </c>
      <c r="D32" s="101" t="s">
        <v>183</v>
      </c>
      <c r="E32" s="101" t="s">
        <v>184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>
      <c r="A33" s="98" t="s">
        <v>61</v>
      </c>
      <c r="B33" s="99" t="s">
        <v>105</v>
      </c>
      <c r="C33" s="100">
        <v>5846012</v>
      </c>
      <c r="D33" s="101" t="s">
        <v>183</v>
      </c>
      <c r="E33" s="101" t="s">
        <v>184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132</v>
      </c>
      <c r="B34" s="99" t="s">
        <v>105</v>
      </c>
      <c r="C34" s="100">
        <v>5836210</v>
      </c>
      <c r="D34" s="101" t="s">
        <v>183</v>
      </c>
      <c r="E34" s="101" t="s">
        <v>184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>
      <c r="A35" s="98" t="s">
        <v>60</v>
      </c>
      <c r="B35" s="99" t="s">
        <v>105</v>
      </c>
      <c r="C35" s="100">
        <v>5695745</v>
      </c>
      <c r="D35" s="101" t="s">
        <v>183</v>
      </c>
      <c r="E35" s="101" t="s">
        <v>184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 hidden="1">
      <c r="A36" s="98" t="s">
        <v>140</v>
      </c>
      <c r="B36" s="99" t="s">
        <v>105</v>
      </c>
      <c r="C36" s="100">
        <v>5607258</v>
      </c>
      <c r="D36" s="101" t="s">
        <v>183</v>
      </c>
      <c r="E36" s="101" t="s">
        <v>184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>
      <c r="A37" s="98" t="s">
        <v>59</v>
      </c>
      <c r="B37" s="99" t="s">
        <v>105</v>
      </c>
      <c r="C37" s="100">
        <v>5575639</v>
      </c>
      <c r="D37" s="101" t="s">
        <v>183</v>
      </c>
      <c r="E37" s="101" t="s">
        <v>184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 hidden="1">
      <c r="A38" s="98" t="s">
        <v>133</v>
      </c>
      <c r="B38" s="99" t="s">
        <v>105</v>
      </c>
      <c r="C38" s="100">
        <v>5461950</v>
      </c>
      <c r="D38" s="101" t="s">
        <v>183</v>
      </c>
      <c r="E38" s="101" t="s">
        <v>184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>
      <c r="A39" s="98" t="s">
        <v>63</v>
      </c>
      <c r="B39" s="99" t="s">
        <v>105</v>
      </c>
      <c r="C39" s="100">
        <v>5217566</v>
      </c>
      <c r="D39" s="101" t="s">
        <v>183</v>
      </c>
      <c r="E39" s="101" t="s">
        <v>184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 hidden="1">
      <c r="A40" s="98" t="s">
        <v>135</v>
      </c>
      <c r="B40" s="99" t="s">
        <v>105</v>
      </c>
      <c r="C40" s="100">
        <v>5049122</v>
      </c>
      <c r="D40" s="101" t="s">
        <v>183</v>
      </c>
      <c r="E40" s="101" t="s">
        <v>184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 hidden="1">
      <c r="A41" s="98" t="s">
        <v>142</v>
      </c>
      <c r="B41" s="99" t="s">
        <v>105</v>
      </c>
      <c r="C41" s="100">
        <v>5018246</v>
      </c>
      <c r="D41" s="101" t="s">
        <v>183</v>
      </c>
      <c r="E41" s="101" t="s">
        <v>184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 hidden="1">
      <c r="A42" s="98" t="s">
        <v>137</v>
      </c>
      <c r="B42" s="99" t="s">
        <v>105</v>
      </c>
      <c r="C42" s="100">
        <v>4916519</v>
      </c>
      <c r="D42" s="101" t="s">
        <v>183</v>
      </c>
      <c r="E42" s="101" t="s">
        <v>184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>
      <c r="A43" s="98" t="s">
        <v>58</v>
      </c>
      <c r="B43" s="99" t="s">
        <v>105</v>
      </c>
      <c r="C43" s="100">
        <v>4791156</v>
      </c>
      <c r="D43" s="101" t="s">
        <v>183</v>
      </c>
      <c r="E43" s="101" t="s">
        <v>184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>
      <c r="A44" s="98" t="s">
        <v>62</v>
      </c>
      <c r="B44" s="99" t="s">
        <v>105</v>
      </c>
      <c r="C44" s="100">
        <v>4556547</v>
      </c>
      <c r="D44" s="101" t="s">
        <v>183</v>
      </c>
      <c r="E44" s="101" t="s">
        <v>184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 hidden="1">
      <c r="A45" s="98" t="s">
        <v>145</v>
      </c>
      <c r="B45" s="99" t="s">
        <v>105</v>
      </c>
      <c r="C45" s="100">
        <v>4513704</v>
      </c>
      <c r="D45" s="101" t="s">
        <v>183</v>
      </c>
      <c r="E45" s="101" t="s">
        <v>184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 hidden="1">
      <c r="A46" s="98" t="s">
        <v>134</v>
      </c>
      <c r="B46" s="99" t="s">
        <v>105</v>
      </c>
      <c r="C46" s="100">
        <v>4414580</v>
      </c>
      <c r="D46" s="101" t="s">
        <v>183</v>
      </c>
      <c r="E46" s="101" t="s">
        <v>184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144</v>
      </c>
      <c r="B47" s="99" t="s">
        <v>105</v>
      </c>
      <c r="C47" s="100">
        <v>4382103</v>
      </c>
      <c r="D47" s="101" t="s">
        <v>183</v>
      </c>
      <c r="E47" s="101" t="s">
        <v>184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 hidden="1">
      <c r="A48" s="98" t="s">
        <v>146</v>
      </c>
      <c r="B48" s="99" t="s">
        <v>105</v>
      </c>
      <c r="C48" s="100">
        <v>4377154</v>
      </c>
      <c r="D48" s="101" t="s">
        <v>183</v>
      </c>
      <c r="E48" s="101" t="s">
        <v>184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 hidden="1">
      <c r="A49" s="98" t="s">
        <v>141</v>
      </c>
      <c r="B49" s="99" t="s">
        <v>105</v>
      </c>
      <c r="C49" s="100">
        <v>4294373</v>
      </c>
      <c r="D49" s="101" t="s">
        <v>183</v>
      </c>
      <c r="E49" s="101" t="s">
        <v>184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 hidden="1">
      <c r="A50" s="98" t="s">
        <v>139</v>
      </c>
      <c r="B50" s="99" t="s">
        <v>105</v>
      </c>
      <c r="C50" s="100">
        <v>3888937</v>
      </c>
      <c r="D50" s="101" t="s">
        <v>183</v>
      </c>
      <c r="E50" s="101" t="s">
        <v>184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 hidden="1">
      <c r="A51" s="98" t="s">
        <v>148</v>
      </c>
      <c r="B51" s="99" t="s">
        <v>105</v>
      </c>
      <c r="C51" s="100">
        <v>3679923</v>
      </c>
      <c r="D51" s="101" t="s">
        <v>183</v>
      </c>
      <c r="E51" s="101" t="s">
        <v>184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 hidden="1">
      <c r="A52" s="98" t="s">
        <v>138</v>
      </c>
      <c r="B52" s="99" t="s">
        <v>105</v>
      </c>
      <c r="C52" s="100">
        <v>3661126</v>
      </c>
      <c r="D52" s="101" t="s">
        <v>183</v>
      </c>
      <c r="E52" s="101" t="s">
        <v>184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>
      <c r="A53" s="98" t="s">
        <v>64</v>
      </c>
      <c r="B53" s="99" t="s">
        <v>105</v>
      </c>
      <c r="C53" s="100">
        <v>3624050</v>
      </c>
      <c r="D53" s="101" t="s">
        <v>183</v>
      </c>
      <c r="E53" s="101" t="s">
        <v>184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 hidden="1">
      <c r="A54" s="98" t="s">
        <v>143</v>
      </c>
      <c r="B54" s="99" t="s">
        <v>105</v>
      </c>
      <c r="C54" s="100">
        <v>3601512</v>
      </c>
      <c r="D54" s="101" t="s">
        <v>183</v>
      </c>
      <c r="E54" s="101" t="s">
        <v>184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>
      <c r="A55" s="98" t="s">
        <v>66</v>
      </c>
      <c r="B55" s="99" t="s">
        <v>105</v>
      </c>
      <c r="C55" s="100">
        <v>3028152</v>
      </c>
      <c r="D55" s="101" t="s">
        <v>183</v>
      </c>
      <c r="E55" s="101" t="s">
        <v>184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>
      <c r="A56" s="98" t="s">
        <v>65</v>
      </c>
      <c r="B56" s="99" t="s">
        <v>105</v>
      </c>
      <c r="C56" s="100">
        <v>2885789</v>
      </c>
      <c r="D56" s="101" t="s">
        <v>183</v>
      </c>
      <c r="E56" s="101" t="s">
        <v>184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 hidden="1">
      <c r="A57" s="98" t="s">
        <v>147</v>
      </c>
      <c r="B57" s="99" t="s">
        <v>105</v>
      </c>
      <c r="C57" s="100">
        <v>2753635</v>
      </c>
      <c r="D57" s="101" t="s">
        <v>183</v>
      </c>
      <c r="E57" s="101" t="s">
        <v>184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>
      <c r="A58" s="98" t="s">
        <v>67</v>
      </c>
      <c r="B58" s="99" t="s">
        <v>105</v>
      </c>
      <c r="C58" s="100">
        <v>2162382</v>
      </c>
      <c r="D58" s="101" t="s">
        <v>183</v>
      </c>
      <c r="E58" s="101" t="s">
        <v>184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>
      <c r="A59" s="98" t="s">
        <v>70</v>
      </c>
      <c r="B59" s="99" t="s">
        <v>105</v>
      </c>
      <c r="C59" s="100">
        <v>1981152</v>
      </c>
      <c r="D59" s="101" t="s">
        <v>183</v>
      </c>
      <c r="E59" s="101" t="s">
        <v>184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>
      <c r="A60" s="98" t="s">
        <v>69</v>
      </c>
      <c r="B60" s="99" t="s">
        <v>105</v>
      </c>
      <c r="C60" s="100">
        <v>1852942</v>
      </c>
      <c r="D60" s="101" t="s">
        <v>183</v>
      </c>
      <c r="E60" s="101" t="s">
        <v>184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 hidden="1">
      <c r="A61" s="98" t="s">
        <v>150</v>
      </c>
      <c r="B61" s="99" t="s">
        <v>105</v>
      </c>
      <c r="C61" s="100">
        <v>1717887</v>
      </c>
      <c r="D61" s="101" t="s">
        <v>183</v>
      </c>
      <c r="E61" s="101" t="s">
        <v>184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 hidden="1">
      <c r="A62" s="98" t="s">
        <v>149</v>
      </c>
      <c r="B62" s="99" t="s">
        <v>105</v>
      </c>
      <c r="C62" s="100">
        <v>1406412</v>
      </c>
      <c r="D62" s="101" t="s">
        <v>183</v>
      </c>
      <c r="E62" s="101" t="s">
        <v>184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>
      <c r="A63" s="98" t="s">
        <v>68</v>
      </c>
      <c r="B63" s="99" t="s">
        <v>105</v>
      </c>
      <c r="C63" s="100">
        <v>1286294</v>
      </c>
      <c r="D63" s="101" t="s">
        <v>183</v>
      </c>
      <c r="E63" s="101" t="s">
        <v>184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>
      <c r="A64" s="98" t="s">
        <v>71</v>
      </c>
      <c r="B64" s="99" t="s">
        <v>105</v>
      </c>
      <c r="C64" s="100">
        <v>1053612</v>
      </c>
      <c r="D64" s="101" t="s">
        <v>183</v>
      </c>
      <c r="E64" s="101" t="s">
        <v>184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 hidden="1">
      <c r="A65" s="98" t="s">
        <v>151</v>
      </c>
      <c r="B65" s="99" t="s">
        <v>105</v>
      </c>
      <c r="C65" s="100">
        <v>654848</v>
      </c>
      <c r="D65" s="101" t="s">
        <v>183</v>
      </c>
      <c r="E65" s="101" t="s">
        <v>184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54630</v>
      </c>
      <c r="D66" s="101" t="s">
        <v>183</v>
      </c>
      <c r="E66" s="101" t="s">
        <v>184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 hidden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 hidden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 hidden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 hidden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 hidden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 hidden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 hidden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 hidden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 hidden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 hidden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 hidden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 hidden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 hidden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 hidden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 hidden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 hidden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 hidden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 hidden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 hidden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 hidden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 hidden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 hidden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 hidden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 hidden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 hidden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 hidden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 hidden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 hidden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 hidden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 hidden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 hidden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Z1000" xr:uid="{00000000-0009-0000-0000-00000C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Z1000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752968568</v>
      </c>
      <c r="D2" s="101" t="s">
        <v>185</v>
      </c>
      <c r="E2" s="101" t="s">
        <v>186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217638845</v>
      </c>
      <c r="D3" s="101" t="s">
        <v>185</v>
      </c>
      <c r="E3" s="101" t="s">
        <v>186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119454184</v>
      </c>
      <c r="D4" s="101" t="s">
        <v>185</v>
      </c>
      <c r="E4" s="101" t="s">
        <v>186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29180668</v>
      </c>
      <c r="D5" s="101" t="s">
        <v>185</v>
      </c>
      <c r="E5" s="101" t="s">
        <v>186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 hidden="1">
      <c r="A6" s="98" t="s">
        <v>111</v>
      </c>
      <c r="B6" s="99" t="s">
        <v>105</v>
      </c>
      <c r="C6" s="100">
        <v>19765112</v>
      </c>
      <c r="D6" s="101" t="s">
        <v>185</v>
      </c>
      <c r="E6" s="101" t="s">
        <v>186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 hidden="1">
      <c r="A7" s="98" t="s">
        <v>112</v>
      </c>
      <c r="B7" s="99" t="s">
        <v>105</v>
      </c>
      <c r="C7" s="100">
        <v>16659865</v>
      </c>
      <c r="D7" s="101" t="s">
        <v>185</v>
      </c>
      <c r="E7" s="101" t="s">
        <v>186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>
      <c r="A8" s="98" t="s">
        <v>54</v>
      </c>
      <c r="B8" s="99" t="s">
        <v>105</v>
      </c>
      <c r="C8" s="100">
        <v>16208395</v>
      </c>
      <c r="D8" s="101" t="s">
        <v>185</v>
      </c>
      <c r="E8" s="101" t="s">
        <v>186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110</v>
      </c>
      <c r="B9" s="99" t="s">
        <v>105</v>
      </c>
      <c r="C9" s="100">
        <v>15567829</v>
      </c>
      <c r="D9" s="101" t="s">
        <v>185</v>
      </c>
      <c r="E9" s="101" t="s">
        <v>186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115</v>
      </c>
      <c r="B10" s="99" t="s">
        <v>105</v>
      </c>
      <c r="C10" s="100">
        <v>14895719</v>
      </c>
      <c r="D10" s="101" t="s">
        <v>185</v>
      </c>
      <c r="E10" s="101" t="s">
        <v>186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 hidden="1">
      <c r="A11" s="98" t="s">
        <v>114</v>
      </c>
      <c r="B11" s="99" t="s">
        <v>105</v>
      </c>
      <c r="C11" s="100">
        <v>14586669</v>
      </c>
      <c r="D11" s="101" t="s">
        <v>185</v>
      </c>
      <c r="E11" s="101" t="s">
        <v>186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 hidden="1">
      <c r="A12" s="98" t="s">
        <v>113</v>
      </c>
      <c r="B12" s="99" t="s">
        <v>105</v>
      </c>
      <c r="C12" s="100">
        <v>13552694</v>
      </c>
      <c r="D12" s="101" t="s">
        <v>185</v>
      </c>
      <c r="E12" s="101" t="s">
        <v>186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>
      <c r="A13" s="98" t="s">
        <v>55</v>
      </c>
      <c r="B13" s="99" t="s">
        <v>105</v>
      </c>
      <c r="C13" s="100">
        <v>13258080</v>
      </c>
      <c r="D13" s="101" t="s">
        <v>185</v>
      </c>
      <c r="E13" s="101" t="s">
        <v>186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 hidden="1">
      <c r="A14" s="98" t="s">
        <v>120</v>
      </c>
      <c r="B14" s="99" t="s">
        <v>105</v>
      </c>
      <c r="C14" s="100">
        <v>10813016</v>
      </c>
      <c r="D14" s="101" t="s">
        <v>185</v>
      </c>
      <c r="E14" s="101" t="s">
        <v>186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 hidden="1">
      <c r="A15" s="98" t="s">
        <v>117</v>
      </c>
      <c r="B15" s="99" t="s">
        <v>105</v>
      </c>
      <c r="C15" s="100">
        <v>10712876</v>
      </c>
      <c r="D15" s="101" t="s">
        <v>185</v>
      </c>
      <c r="E15" s="101" t="s">
        <v>186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121</v>
      </c>
      <c r="B16" s="99" t="s">
        <v>105</v>
      </c>
      <c r="C16" s="100">
        <v>10175381</v>
      </c>
      <c r="D16" s="101" t="s">
        <v>185</v>
      </c>
      <c r="E16" s="101" t="s">
        <v>186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118</v>
      </c>
      <c r="B17" s="99" t="s">
        <v>105</v>
      </c>
      <c r="C17" s="100">
        <v>10080272</v>
      </c>
      <c r="D17" s="101" t="s">
        <v>185</v>
      </c>
      <c r="E17" s="101" t="s">
        <v>186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>
      <c r="A18" s="98" t="s">
        <v>56</v>
      </c>
      <c r="B18" s="99" t="s">
        <v>105</v>
      </c>
      <c r="C18" s="100">
        <v>10055209</v>
      </c>
      <c r="D18" s="101" t="s">
        <v>185</v>
      </c>
      <c r="E18" s="101" t="s">
        <v>186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122</v>
      </c>
      <c r="B19" s="99" t="s">
        <v>105</v>
      </c>
      <c r="C19" s="100">
        <v>9993355</v>
      </c>
      <c r="D19" s="101" t="s">
        <v>185</v>
      </c>
      <c r="E19" s="101" t="s">
        <v>186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124</v>
      </c>
      <c r="B20" s="99" t="s">
        <v>105</v>
      </c>
      <c r="C20" s="100">
        <v>9202249</v>
      </c>
      <c r="D20" s="101" t="s">
        <v>185</v>
      </c>
      <c r="E20" s="101" t="s">
        <v>186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119</v>
      </c>
      <c r="B21" s="99" t="s">
        <v>105</v>
      </c>
      <c r="C21" s="100">
        <v>8655181</v>
      </c>
      <c r="D21" s="101" t="s">
        <v>185</v>
      </c>
      <c r="E21" s="101" t="s">
        <v>186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116</v>
      </c>
      <c r="B22" s="99" t="s">
        <v>105</v>
      </c>
      <c r="C22" s="100">
        <v>8460295</v>
      </c>
      <c r="D22" s="101" t="s">
        <v>185</v>
      </c>
      <c r="E22" s="101" t="s">
        <v>186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128</v>
      </c>
      <c r="B23" s="99" t="s">
        <v>105</v>
      </c>
      <c r="C23" s="100">
        <v>8266640</v>
      </c>
      <c r="D23" s="101" t="s">
        <v>185</v>
      </c>
      <c r="E23" s="101" t="s">
        <v>186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125</v>
      </c>
      <c r="B24" s="99" t="s">
        <v>105</v>
      </c>
      <c r="C24" s="100">
        <v>7863736</v>
      </c>
      <c r="D24" s="101" t="s">
        <v>185</v>
      </c>
      <c r="E24" s="101" t="s">
        <v>186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127</v>
      </c>
      <c r="B25" s="99" t="s">
        <v>105</v>
      </c>
      <c r="C25" s="100">
        <v>7394919</v>
      </c>
      <c r="D25" s="101" t="s">
        <v>185</v>
      </c>
      <c r="E25" s="101" t="s">
        <v>186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126</v>
      </c>
      <c r="B26" s="99" t="s">
        <v>105</v>
      </c>
      <c r="C26" s="100">
        <v>7237630</v>
      </c>
      <c r="D26" s="101" t="s">
        <v>185</v>
      </c>
      <c r="E26" s="101" t="s">
        <v>186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123</v>
      </c>
      <c r="B27" s="99" t="s">
        <v>105</v>
      </c>
      <c r="C27" s="100">
        <v>5783008</v>
      </c>
      <c r="D27" s="101" t="s">
        <v>185</v>
      </c>
      <c r="E27" s="101" t="s">
        <v>186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131</v>
      </c>
      <c r="B28" s="99" t="s">
        <v>105</v>
      </c>
      <c r="C28" s="100">
        <v>5765061</v>
      </c>
      <c r="D28" s="101" t="s">
        <v>185</v>
      </c>
      <c r="E28" s="101" t="s">
        <v>186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>
      <c r="A29" s="98" t="s">
        <v>57</v>
      </c>
      <c r="B29" s="99" t="s">
        <v>105</v>
      </c>
      <c r="C29" s="100">
        <v>5764045</v>
      </c>
      <c r="D29" s="101" t="s">
        <v>185</v>
      </c>
      <c r="E29" s="101" t="s">
        <v>186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 hidden="1">
      <c r="A30" s="98" t="s">
        <v>136</v>
      </c>
      <c r="B30" s="99" t="s">
        <v>105</v>
      </c>
      <c r="C30" s="100">
        <v>5741782</v>
      </c>
      <c r="D30" s="101" t="s">
        <v>185</v>
      </c>
      <c r="E30" s="101" t="s">
        <v>186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 hidden="1">
      <c r="A31" s="98" t="s">
        <v>140</v>
      </c>
      <c r="B31" s="99" t="s">
        <v>105</v>
      </c>
      <c r="C31" s="100">
        <v>5605336</v>
      </c>
      <c r="D31" s="101" t="s">
        <v>185</v>
      </c>
      <c r="E31" s="101" t="s">
        <v>186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>
      <c r="A32" s="98" t="s">
        <v>59</v>
      </c>
      <c r="B32" s="99" t="s">
        <v>105</v>
      </c>
      <c r="C32" s="100">
        <v>5585911</v>
      </c>
      <c r="D32" s="101" t="s">
        <v>185</v>
      </c>
      <c r="E32" s="101" t="s">
        <v>186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 hidden="1">
      <c r="A33" s="98" t="s">
        <v>132</v>
      </c>
      <c r="B33" s="99" t="s">
        <v>105</v>
      </c>
      <c r="C33" s="100">
        <v>5297902</v>
      </c>
      <c r="D33" s="101" t="s">
        <v>185</v>
      </c>
      <c r="E33" s="101" t="s">
        <v>186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129</v>
      </c>
      <c r="B34" s="99" t="s">
        <v>105</v>
      </c>
      <c r="C34" s="100">
        <v>5133959</v>
      </c>
      <c r="D34" s="101" t="s">
        <v>185</v>
      </c>
      <c r="E34" s="101" t="s">
        <v>186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>
      <c r="A35" s="98" t="s">
        <v>60</v>
      </c>
      <c r="B35" s="99" t="s">
        <v>105</v>
      </c>
      <c r="C35" s="100">
        <v>4905175</v>
      </c>
      <c r="D35" s="101" t="s">
        <v>185</v>
      </c>
      <c r="E35" s="101" t="s">
        <v>186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>
      <c r="A36" s="98" t="s">
        <v>61</v>
      </c>
      <c r="B36" s="99" t="s">
        <v>105</v>
      </c>
      <c r="C36" s="100">
        <v>4765927</v>
      </c>
      <c r="D36" s="101" t="s">
        <v>185</v>
      </c>
      <c r="E36" s="101" t="s">
        <v>186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 hidden="1">
      <c r="A37" s="98" t="s">
        <v>130</v>
      </c>
      <c r="B37" s="99" t="s">
        <v>105</v>
      </c>
      <c r="C37" s="100">
        <v>4753709</v>
      </c>
      <c r="D37" s="101" t="s">
        <v>185</v>
      </c>
      <c r="E37" s="101" t="s">
        <v>186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 hidden="1">
      <c r="A38" s="98" t="s">
        <v>137</v>
      </c>
      <c r="B38" s="99" t="s">
        <v>105</v>
      </c>
      <c r="C38" s="100">
        <v>4536313</v>
      </c>
      <c r="D38" s="101" t="s">
        <v>185</v>
      </c>
      <c r="E38" s="101" t="s">
        <v>186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 hidden="1">
      <c r="A39" s="98" t="s">
        <v>135</v>
      </c>
      <c r="B39" s="99" t="s">
        <v>105</v>
      </c>
      <c r="C39" s="100">
        <v>4501131</v>
      </c>
      <c r="D39" s="101" t="s">
        <v>185</v>
      </c>
      <c r="E39" s="101" t="s">
        <v>186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 hidden="1">
      <c r="A40" s="98" t="s">
        <v>134</v>
      </c>
      <c r="B40" s="99" t="s">
        <v>105</v>
      </c>
      <c r="C40" s="100">
        <v>4291353</v>
      </c>
      <c r="D40" s="101" t="s">
        <v>185</v>
      </c>
      <c r="E40" s="101" t="s">
        <v>186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>
      <c r="A41" s="98" t="s">
        <v>63</v>
      </c>
      <c r="B41" s="99" t="s">
        <v>105</v>
      </c>
      <c r="C41" s="100">
        <v>4238310</v>
      </c>
      <c r="D41" s="101" t="s">
        <v>185</v>
      </c>
      <c r="E41" s="101" t="s">
        <v>186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 hidden="1">
      <c r="A42" s="98" t="s">
        <v>133</v>
      </c>
      <c r="B42" s="99" t="s">
        <v>105</v>
      </c>
      <c r="C42" s="100">
        <v>4237717</v>
      </c>
      <c r="D42" s="101" t="s">
        <v>185</v>
      </c>
      <c r="E42" s="101" t="s">
        <v>186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>
      <c r="A43" s="98" t="s">
        <v>62</v>
      </c>
      <c r="B43" s="99" t="s">
        <v>105</v>
      </c>
      <c r="C43" s="100">
        <v>4037976</v>
      </c>
      <c r="D43" s="101" t="s">
        <v>185</v>
      </c>
      <c r="E43" s="101" t="s">
        <v>186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 hidden="1">
      <c r="A44" s="98" t="s">
        <v>144</v>
      </c>
      <c r="B44" s="99" t="s">
        <v>105</v>
      </c>
      <c r="C44" s="100">
        <v>3971210</v>
      </c>
      <c r="D44" s="101" t="s">
        <v>185</v>
      </c>
      <c r="E44" s="101" t="s">
        <v>186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 hidden="1">
      <c r="A45" s="98" t="s">
        <v>138</v>
      </c>
      <c r="B45" s="99" t="s">
        <v>105</v>
      </c>
      <c r="C45" s="100">
        <v>3797486</v>
      </c>
      <c r="D45" s="101" t="s">
        <v>185</v>
      </c>
      <c r="E45" s="101" t="s">
        <v>186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 hidden="1">
      <c r="A46" s="98" t="s">
        <v>142</v>
      </c>
      <c r="B46" s="99" t="s">
        <v>105</v>
      </c>
      <c r="C46" s="100">
        <v>3783969</v>
      </c>
      <c r="D46" s="101" t="s">
        <v>185</v>
      </c>
      <c r="E46" s="101" t="s">
        <v>186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146</v>
      </c>
      <c r="B47" s="99" t="s">
        <v>105</v>
      </c>
      <c r="C47" s="100">
        <v>3758171</v>
      </c>
      <c r="D47" s="101" t="s">
        <v>185</v>
      </c>
      <c r="E47" s="101" t="s">
        <v>186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 hidden="1">
      <c r="A48" s="98" t="s">
        <v>141</v>
      </c>
      <c r="B48" s="99" t="s">
        <v>105</v>
      </c>
      <c r="C48" s="100">
        <v>3744448</v>
      </c>
      <c r="D48" s="101" t="s">
        <v>185</v>
      </c>
      <c r="E48" s="101" t="s">
        <v>186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 hidden="1">
      <c r="A49" s="98" t="s">
        <v>139</v>
      </c>
      <c r="B49" s="99" t="s">
        <v>105</v>
      </c>
      <c r="C49" s="100">
        <v>3670248</v>
      </c>
      <c r="D49" s="101" t="s">
        <v>185</v>
      </c>
      <c r="E49" s="101" t="s">
        <v>186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 hidden="1">
      <c r="A50" s="98" t="s">
        <v>148</v>
      </c>
      <c r="B50" s="99" t="s">
        <v>105</v>
      </c>
      <c r="C50" s="100">
        <v>3519082</v>
      </c>
      <c r="D50" s="101" t="s">
        <v>185</v>
      </c>
      <c r="E50" s="101" t="s">
        <v>186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>
      <c r="A51" s="98" t="s">
        <v>64</v>
      </c>
      <c r="B51" s="99" t="s">
        <v>105</v>
      </c>
      <c r="C51" s="100">
        <v>3492988</v>
      </c>
      <c r="D51" s="101" t="s">
        <v>185</v>
      </c>
      <c r="E51" s="101" t="s">
        <v>186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>
      <c r="A52" s="98" t="s">
        <v>58</v>
      </c>
      <c r="B52" s="99" t="s">
        <v>105</v>
      </c>
      <c r="C52" s="100">
        <v>3429158</v>
      </c>
      <c r="D52" s="101" t="s">
        <v>185</v>
      </c>
      <c r="E52" s="101" t="s">
        <v>186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 hidden="1">
      <c r="A53" s="98" t="s">
        <v>145</v>
      </c>
      <c r="B53" s="99" t="s">
        <v>105</v>
      </c>
      <c r="C53" s="100">
        <v>3380942</v>
      </c>
      <c r="D53" s="101" t="s">
        <v>185</v>
      </c>
      <c r="E53" s="101" t="s">
        <v>186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 hidden="1">
      <c r="A54" s="98" t="s">
        <v>143</v>
      </c>
      <c r="B54" s="99" t="s">
        <v>105</v>
      </c>
      <c r="C54" s="100">
        <v>2809792</v>
      </c>
      <c r="D54" s="101" t="s">
        <v>185</v>
      </c>
      <c r="E54" s="101" t="s">
        <v>186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>
      <c r="A55" s="98" t="s">
        <v>65</v>
      </c>
      <c r="B55" s="99" t="s">
        <v>105</v>
      </c>
      <c r="C55" s="100">
        <v>2690758</v>
      </c>
      <c r="D55" s="101" t="s">
        <v>185</v>
      </c>
      <c r="E55" s="101" t="s">
        <v>186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>
      <c r="A56" s="98" t="s">
        <v>66</v>
      </c>
      <c r="B56" s="99" t="s">
        <v>105</v>
      </c>
      <c r="C56" s="100">
        <v>2622510</v>
      </c>
      <c r="D56" s="101" t="s">
        <v>185</v>
      </c>
      <c r="E56" s="101" t="s">
        <v>186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 hidden="1">
      <c r="A57" s="98" t="s">
        <v>147</v>
      </c>
      <c r="B57" s="99" t="s">
        <v>105</v>
      </c>
      <c r="C57" s="100">
        <v>2163057</v>
      </c>
      <c r="D57" s="101" t="s">
        <v>185</v>
      </c>
      <c r="E57" s="101" t="s">
        <v>186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>
      <c r="A58" s="98" t="s">
        <v>70</v>
      </c>
      <c r="B58" s="99" t="s">
        <v>105</v>
      </c>
      <c r="C58" s="100">
        <v>2053743</v>
      </c>
      <c r="D58" s="101" t="s">
        <v>185</v>
      </c>
      <c r="E58" s="101" t="s">
        <v>186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>
      <c r="A59" s="98" t="s">
        <v>67</v>
      </c>
      <c r="B59" s="99" t="s">
        <v>105</v>
      </c>
      <c r="C59" s="100">
        <v>1838170</v>
      </c>
      <c r="D59" s="101" t="s">
        <v>185</v>
      </c>
      <c r="E59" s="101" t="s">
        <v>186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>
      <c r="A60" s="98" t="s">
        <v>69</v>
      </c>
      <c r="B60" s="99" t="s">
        <v>105</v>
      </c>
      <c r="C60" s="100">
        <v>1667495</v>
      </c>
      <c r="D60" s="101" t="s">
        <v>185</v>
      </c>
      <c r="E60" s="101" t="s">
        <v>186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 hidden="1">
      <c r="A61" s="98" t="s">
        <v>150</v>
      </c>
      <c r="B61" s="99" t="s">
        <v>105</v>
      </c>
      <c r="C61" s="100">
        <v>1621944</v>
      </c>
      <c r="D61" s="101" t="s">
        <v>185</v>
      </c>
      <c r="E61" s="101" t="s">
        <v>186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 hidden="1">
      <c r="A62" s="98" t="s">
        <v>149</v>
      </c>
      <c r="B62" s="99" t="s">
        <v>105</v>
      </c>
      <c r="C62" s="100">
        <v>1573030</v>
      </c>
      <c r="D62" s="101" t="s">
        <v>185</v>
      </c>
      <c r="E62" s="101" t="s">
        <v>186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>
      <c r="A63" s="98" t="s">
        <v>68</v>
      </c>
      <c r="B63" s="99" t="s">
        <v>105</v>
      </c>
      <c r="C63" s="100">
        <v>1284572</v>
      </c>
      <c r="D63" s="101" t="s">
        <v>185</v>
      </c>
      <c r="E63" s="101" t="s">
        <v>186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 hidden="1">
      <c r="A64" s="98" t="s">
        <v>151</v>
      </c>
      <c r="B64" s="99" t="s">
        <v>105</v>
      </c>
      <c r="C64" s="100">
        <v>742118</v>
      </c>
      <c r="D64" s="101" t="s">
        <v>185</v>
      </c>
      <c r="E64" s="101" t="s">
        <v>186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>
      <c r="A65" s="98" t="s">
        <v>71</v>
      </c>
      <c r="B65" s="99" t="s">
        <v>105</v>
      </c>
      <c r="C65" s="100">
        <v>702584</v>
      </c>
      <c r="D65" s="101" t="s">
        <v>185</v>
      </c>
      <c r="E65" s="101" t="s">
        <v>186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27659</v>
      </c>
      <c r="D66" s="101" t="s">
        <v>185</v>
      </c>
      <c r="E66" s="101" t="s">
        <v>186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 hidden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 hidden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 hidden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 hidden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 hidden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 hidden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 hidden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 hidden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 hidden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 hidden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 hidden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 hidden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 hidden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 hidden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 hidden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 hidden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 hidden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 hidden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 hidden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 hidden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 hidden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 hidden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 hidden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 hidden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 hidden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 hidden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 hidden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 hidden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 hidden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 hidden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 hidden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Z1000" xr:uid="{00000000-0009-0000-0000-00000D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Z1000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1028161946</v>
      </c>
      <c r="D2" s="101" t="s">
        <v>187</v>
      </c>
      <c r="E2" s="101" t="s">
        <v>188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310829489</v>
      </c>
      <c r="D3" s="101" t="s">
        <v>187</v>
      </c>
      <c r="E3" s="101" t="s">
        <v>188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186209456</v>
      </c>
      <c r="D4" s="101" t="s">
        <v>187</v>
      </c>
      <c r="E4" s="101" t="s">
        <v>188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41100877</v>
      </c>
      <c r="D5" s="101" t="s">
        <v>187</v>
      </c>
      <c r="E5" s="101" t="s">
        <v>188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 hidden="1">
      <c r="A6" s="98" t="s">
        <v>111</v>
      </c>
      <c r="B6" s="99" t="s">
        <v>105</v>
      </c>
      <c r="C6" s="100">
        <v>21002416</v>
      </c>
      <c r="D6" s="101" t="s">
        <v>187</v>
      </c>
      <c r="E6" s="101" t="s">
        <v>188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 hidden="1">
      <c r="A7" s="98" t="s">
        <v>110</v>
      </c>
      <c r="B7" s="99" t="s">
        <v>105</v>
      </c>
      <c r="C7" s="100">
        <v>20866668</v>
      </c>
      <c r="D7" s="101" t="s">
        <v>187</v>
      </c>
      <c r="E7" s="101" t="s">
        <v>188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>
      <c r="A8" s="98" t="s">
        <v>54</v>
      </c>
      <c r="B8" s="99" t="s">
        <v>105</v>
      </c>
      <c r="C8" s="100">
        <v>20278702</v>
      </c>
      <c r="D8" s="101" t="s">
        <v>187</v>
      </c>
      <c r="E8" s="101" t="s">
        <v>188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114</v>
      </c>
      <c r="B9" s="99" t="s">
        <v>105</v>
      </c>
      <c r="C9" s="100">
        <v>19183947</v>
      </c>
      <c r="D9" s="101" t="s">
        <v>187</v>
      </c>
      <c r="E9" s="101" t="s">
        <v>188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112</v>
      </c>
      <c r="B10" s="99" t="s">
        <v>105</v>
      </c>
      <c r="C10" s="100">
        <v>19154065</v>
      </c>
      <c r="D10" s="101" t="s">
        <v>187</v>
      </c>
      <c r="E10" s="101" t="s">
        <v>188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 hidden="1">
      <c r="A11" s="98" t="s">
        <v>113</v>
      </c>
      <c r="B11" s="99" t="s">
        <v>105</v>
      </c>
      <c r="C11" s="100">
        <v>18486911</v>
      </c>
      <c r="D11" s="101" t="s">
        <v>187</v>
      </c>
      <c r="E11" s="101" t="s">
        <v>188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 hidden="1">
      <c r="A12" s="98" t="s">
        <v>115</v>
      </c>
      <c r="B12" s="99" t="s">
        <v>105</v>
      </c>
      <c r="C12" s="100">
        <v>18302217</v>
      </c>
      <c r="D12" s="101" t="s">
        <v>187</v>
      </c>
      <c r="E12" s="101" t="s">
        <v>188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>
      <c r="A13" s="98" t="s">
        <v>55</v>
      </c>
      <c r="B13" s="99" t="s">
        <v>105</v>
      </c>
      <c r="C13" s="100">
        <v>16793423</v>
      </c>
      <c r="D13" s="101" t="s">
        <v>187</v>
      </c>
      <c r="E13" s="101" t="s">
        <v>188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 hidden="1">
      <c r="A14" s="98" t="s">
        <v>120</v>
      </c>
      <c r="B14" s="99" t="s">
        <v>105</v>
      </c>
      <c r="C14" s="100">
        <v>13744023</v>
      </c>
      <c r="D14" s="101" t="s">
        <v>187</v>
      </c>
      <c r="E14" s="101" t="s">
        <v>188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 hidden="1">
      <c r="A15" s="98" t="s">
        <v>117</v>
      </c>
      <c r="B15" s="99" t="s">
        <v>105</v>
      </c>
      <c r="C15" s="100">
        <v>13578720</v>
      </c>
      <c r="D15" s="101" t="s">
        <v>187</v>
      </c>
      <c r="E15" s="101" t="s">
        <v>188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122</v>
      </c>
      <c r="B16" s="99" t="s">
        <v>105</v>
      </c>
      <c r="C16" s="100">
        <v>13342201</v>
      </c>
      <c r="D16" s="101" t="s">
        <v>187</v>
      </c>
      <c r="E16" s="101" t="s">
        <v>188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121</v>
      </c>
      <c r="B17" s="99" t="s">
        <v>105</v>
      </c>
      <c r="C17" s="100">
        <v>13066056</v>
      </c>
      <c r="D17" s="101" t="s">
        <v>187</v>
      </c>
      <c r="E17" s="101" t="s">
        <v>188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 hidden="1">
      <c r="A18" s="98" t="s">
        <v>118</v>
      </c>
      <c r="B18" s="99" t="s">
        <v>105</v>
      </c>
      <c r="C18" s="100">
        <v>12082061</v>
      </c>
      <c r="D18" s="101" t="s">
        <v>187</v>
      </c>
      <c r="E18" s="101" t="s">
        <v>188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128</v>
      </c>
      <c r="B19" s="99" t="s">
        <v>105</v>
      </c>
      <c r="C19" s="100">
        <v>11893349</v>
      </c>
      <c r="D19" s="101" t="s">
        <v>187</v>
      </c>
      <c r="E19" s="101" t="s">
        <v>188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>
      <c r="A20" s="98" t="s">
        <v>56</v>
      </c>
      <c r="B20" s="99" t="s">
        <v>105</v>
      </c>
      <c r="C20" s="100">
        <v>11842231</v>
      </c>
      <c r="D20" s="101" t="s">
        <v>187</v>
      </c>
      <c r="E20" s="101" t="s">
        <v>188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124</v>
      </c>
      <c r="B21" s="99" t="s">
        <v>105</v>
      </c>
      <c r="C21" s="100">
        <v>11470546</v>
      </c>
      <c r="D21" s="101" t="s">
        <v>187</v>
      </c>
      <c r="E21" s="101" t="s">
        <v>188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126</v>
      </c>
      <c r="B22" s="99" t="s">
        <v>105</v>
      </c>
      <c r="C22" s="100">
        <v>11389262</v>
      </c>
      <c r="D22" s="101" t="s">
        <v>187</v>
      </c>
      <c r="E22" s="101" t="s">
        <v>188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127</v>
      </c>
      <c r="B23" s="99" t="s">
        <v>105</v>
      </c>
      <c r="C23" s="100">
        <v>10966428</v>
      </c>
      <c r="D23" s="101" t="s">
        <v>187</v>
      </c>
      <c r="E23" s="101" t="s">
        <v>188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119</v>
      </c>
      <c r="B24" s="99" t="s">
        <v>105</v>
      </c>
      <c r="C24" s="100">
        <v>10500015</v>
      </c>
      <c r="D24" s="101" t="s">
        <v>187</v>
      </c>
      <c r="E24" s="101" t="s">
        <v>188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116</v>
      </c>
      <c r="B25" s="99" t="s">
        <v>105</v>
      </c>
      <c r="C25" s="100">
        <v>10494604</v>
      </c>
      <c r="D25" s="101" t="s">
        <v>187</v>
      </c>
      <c r="E25" s="101" t="s">
        <v>188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125</v>
      </c>
      <c r="B26" s="99" t="s">
        <v>105</v>
      </c>
      <c r="C26" s="100">
        <v>9111641</v>
      </c>
      <c r="D26" s="101" t="s">
        <v>187</v>
      </c>
      <c r="E26" s="101" t="s">
        <v>188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>
      <c r="A27" s="98" t="s">
        <v>57</v>
      </c>
      <c r="B27" s="99" t="s">
        <v>105</v>
      </c>
      <c r="C27" s="100">
        <v>7979701</v>
      </c>
      <c r="D27" s="101" t="s">
        <v>187</v>
      </c>
      <c r="E27" s="101" t="s">
        <v>188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140</v>
      </c>
      <c r="B28" s="99" t="s">
        <v>105</v>
      </c>
      <c r="C28" s="100">
        <v>7818358</v>
      </c>
      <c r="D28" s="101" t="s">
        <v>187</v>
      </c>
      <c r="E28" s="101" t="s">
        <v>188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>
      <c r="A29" s="98" t="s">
        <v>59</v>
      </c>
      <c r="B29" s="99" t="s">
        <v>105</v>
      </c>
      <c r="C29" s="100">
        <v>7810996</v>
      </c>
      <c r="D29" s="101" t="s">
        <v>187</v>
      </c>
      <c r="E29" s="101" t="s">
        <v>188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 hidden="1">
      <c r="A30" s="98" t="s">
        <v>131</v>
      </c>
      <c r="B30" s="99" t="s">
        <v>105</v>
      </c>
      <c r="C30" s="100">
        <v>7355212</v>
      </c>
      <c r="D30" s="101" t="s">
        <v>187</v>
      </c>
      <c r="E30" s="101" t="s">
        <v>188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 hidden="1">
      <c r="A31" s="98" t="s">
        <v>130</v>
      </c>
      <c r="B31" s="99" t="s">
        <v>105</v>
      </c>
      <c r="C31" s="100">
        <v>6929918</v>
      </c>
      <c r="D31" s="101" t="s">
        <v>187</v>
      </c>
      <c r="E31" s="101" t="s">
        <v>188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 hidden="1">
      <c r="A32" s="98" t="s">
        <v>132</v>
      </c>
      <c r="B32" s="99" t="s">
        <v>105</v>
      </c>
      <c r="C32" s="100">
        <v>6914858</v>
      </c>
      <c r="D32" s="101" t="s">
        <v>187</v>
      </c>
      <c r="E32" s="101" t="s">
        <v>188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 hidden="1">
      <c r="A33" s="98" t="s">
        <v>129</v>
      </c>
      <c r="B33" s="99" t="s">
        <v>105</v>
      </c>
      <c r="C33" s="100">
        <v>6824243</v>
      </c>
      <c r="D33" s="101" t="s">
        <v>187</v>
      </c>
      <c r="E33" s="101" t="s">
        <v>188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>
      <c r="A34" s="98" t="s">
        <v>61</v>
      </c>
      <c r="B34" s="99" t="s">
        <v>105</v>
      </c>
      <c r="C34" s="100">
        <v>6635773</v>
      </c>
      <c r="D34" s="101" t="s">
        <v>187</v>
      </c>
      <c r="E34" s="101" t="s">
        <v>188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 hidden="1">
      <c r="A35" s="98" t="s">
        <v>123</v>
      </c>
      <c r="B35" s="99" t="s">
        <v>105</v>
      </c>
      <c r="C35" s="100">
        <v>6466898</v>
      </c>
      <c r="D35" s="101" t="s">
        <v>187</v>
      </c>
      <c r="E35" s="101" t="s">
        <v>188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 hidden="1">
      <c r="A36" s="98" t="s">
        <v>136</v>
      </c>
      <c r="B36" s="99" t="s">
        <v>105</v>
      </c>
      <c r="C36" s="100">
        <v>6435418</v>
      </c>
      <c r="D36" s="101" t="s">
        <v>187</v>
      </c>
      <c r="E36" s="101" t="s">
        <v>188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 hidden="1">
      <c r="A37" s="98" t="s">
        <v>144</v>
      </c>
      <c r="B37" s="99" t="s">
        <v>105</v>
      </c>
      <c r="C37" s="100">
        <v>6091912</v>
      </c>
      <c r="D37" s="101" t="s">
        <v>187</v>
      </c>
      <c r="E37" s="101" t="s">
        <v>188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 hidden="1">
      <c r="A38" s="98" t="s">
        <v>135</v>
      </c>
      <c r="B38" s="99" t="s">
        <v>105</v>
      </c>
      <c r="C38" s="100">
        <v>5853234</v>
      </c>
      <c r="D38" s="101" t="s">
        <v>187</v>
      </c>
      <c r="E38" s="101" t="s">
        <v>188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>
      <c r="A39" s="98" t="s">
        <v>64</v>
      </c>
      <c r="B39" s="99" t="s">
        <v>105</v>
      </c>
      <c r="C39" s="100">
        <v>5735663</v>
      </c>
      <c r="D39" s="101" t="s">
        <v>187</v>
      </c>
      <c r="E39" s="101" t="s">
        <v>188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>
      <c r="A40" s="98" t="s">
        <v>62</v>
      </c>
      <c r="B40" s="99" t="s">
        <v>105</v>
      </c>
      <c r="C40" s="100">
        <v>5390538</v>
      </c>
      <c r="D40" s="101" t="s">
        <v>187</v>
      </c>
      <c r="E40" s="101" t="s">
        <v>188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>
      <c r="A41" s="98" t="s">
        <v>60</v>
      </c>
      <c r="B41" s="99" t="s">
        <v>105</v>
      </c>
      <c r="C41" s="100">
        <v>5333851</v>
      </c>
      <c r="D41" s="101" t="s">
        <v>187</v>
      </c>
      <c r="E41" s="101" t="s">
        <v>188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 hidden="1">
      <c r="A42" s="98" t="s">
        <v>137</v>
      </c>
      <c r="B42" s="99" t="s">
        <v>105</v>
      </c>
      <c r="C42" s="100">
        <v>5225164</v>
      </c>
      <c r="D42" s="101" t="s">
        <v>187</v>
      </c>
      <c r="E42" s="101" t="s">
        <v>188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 hidden="1">
      <c r="A43" s="98" t="s">
        <v>141</v>
      </c>
      <c r="B43" s="99" t="s">
        <v>105</v>
      </c>
      <c r="C43" s="100">
        <v>5065629</v>
      </c>
      <c r="D43" s="101" t="s">
        <v>187</v>
      </c>
      <c r="E43" s="101" t="s">
        <v>188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 hidden="1">
      <c r="A44" s="98" t="s">
        <v>146</v>
      </c>
      <c r="B44" s="99" t="s">
        <v>105</v>
      </c>
      <c r="C44" s="100">
        <v>5011600</v>
      </c>
      <c r="D44" s="101" t="s">
        <v>187</v>
      </c>
      <c r="E44" s="101" t="s">
        <v>188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 hidden="1">
      <c r="A45" s="98" t="s">
        <v>133</v>
      </c>
      <c r="B45" s="99" t="s">
        <v>105</v>
      </c>
      <c r="C45" s="100">
        <v>4689841</v>
      </c>
      <c r="D45" s="101" t="s">
        <v>187</v>
      </c>
      <c r="E45" s="101" t="s">
        <v>188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 hidden="1">
      <c r="A46" s="98" t="s">
        <v>139</v>
      </c>
      <c r="B46" s="99" t="s">
        <v>105</v>
      </c>
      <c r="C46" s="100">
        <v>4592271</v>
      </c>
      <c r="D46" s="101" t="s">
        <v>187</v>
      </c>
      <c r="E46" s="101" t="s">
        <v>188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145</v>
      </c>
      <c r="B47" s="99" t="s">
        <v>105</v>
      </c>
      <c r="C47" s="100">
        <v>4588321</v>
      </c>
      <c r="D47" s="101" t="s">
        <v>187</v>
      </c>
      <c r="E47" s="101" t="s">
        <v>188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>
      <c r="A48" s="98" t="s">
        <v>58</v>
      </c>
      <c r="B48" s="99" t="s">
        <v>105</v>
      </c>
      <c r="C48" s="100">
        <v>4557600</v>
      </c>
      <c r="D48" s="101" t="s">
        <v>187</v>
      </c>
      <c r="E48" s="101" t="s">
        <v>188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>
      <c r="A49" s="98" t="s">
        <v>63</v>
      </c>
      <c r="B49" s="99" t="s">
        <v>105</v>
      </c>
      <c r="C49" s="100">
        <v>4540515</v>
      </c>
      <c r="D49" s="101" t="s">
        <v>187</v>
      </c>
      <c r="E49" s="101" t="s">
        <v>188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 hidden="1">
      <c r="A50" s="98" t="s">
        <v>142</v>
      </c>
      <c r="B50" s="99" t="s">
        <v>105</v>
      </c>
      <c r="C50" s="100">
        <v>4420796</v>
      </c>
      <c r="D50" s="101" t="s">
        <v>187</v>
      </c>
      <c r="E50" s="101" t="s">
        <v>188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 hidden="1">
      <c r="A51" s="98" t="s">
        <v>134</v>
      </c>
      <c r="B51" s="99" t="s">
        <v>105</v>
      </c>
      <c r="C51" s="100">
        <v>4313434</v>
      </c>
      <c r="D51" s="101" t="s">
        <v>187</v>
      </c>
      <c r="E51" s="101" t="s">
        <v>188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 hidden="1">
      <c r="A52" s="98" t="s">
        <v>143</v>
      </c>
      <c r="B52" s="99" t="s">
        <v>105</v>
      </c>
      <c r="C52" s="100">
        <v>4099191</v>
      </c>
      <c r="D52" s="101" t="s">
        <v>187</v>
      </c>
      <c r="E52" s="101" t="s">
        <v>188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>
      <c r="A53" s="98" t="s">
        <v>66</v>
      </c>
      <c r="B53" s="99" t="s">
        <v>105</v>
      </c>
      <c r="C53" s="100">
        <v>4052765</v>
      </c>
      <c r="D53" s="101" t="s">
        <v>187</v>
      </c>
      <c r="E53" s="101" t="s">
        <v>188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 hidden="1">
      <c r="A54" s="98" t="s">
        <v>138</v>
      </c>
      <c r="B54" s="99" t="s">
        <v>105</v>
      </c>
      <c r="C54" s="100">
        <v>3973283</v>
      </c>
      <c r="D54" s="101" t="s">
        <v>187</v>
      </c>
      <c r="E54" s="101" t="s">
        <v>188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 hidden="1">
      <c r="A55" s="98" t="s">
        <v>148</v>
      </c>
      <c r="B55" s="99" t="s">
        <v>105</v>
      </c>
      <c r="C55" s="100">
        <v>3526934</v>
      </c>
      <c r="D55" s="101" t="s">
        <v>187</v>
      </c>
      <c r="E55" s="101" t="s">
        <v>188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>
      <c r="A56" s="98" t="s">
        <v>65</v>
      </c>
      <c r="B56" s="99" t="s">
        <v>105</v>
      </c>
      <c r="C56" s="100">
        <v>3289890</v>
      </c>
      <c r="D56" s="101" t="s">
        <v>187</v>
      </c>
      <c r="E56" s="101" t="s">
        <v>188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>
      <c r="A57" s="98" t="s">
        <v>67</v>
      </c>
      <c r="B57" s="99" t="s">
        <v>105</v>
      </c>
      <c r="C57" s="100">
        <v>3063860</v>
      </c>
      <c r="D57" s="101" t="s">
        <v>187</v>
      </c>
      <c r="E57" s="101" t="s">
        <v>188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 hidden="1">
      <c r="A58" s="98" t="s">
        <v>150</v>
      </c>
      <c r="B58" s="99" t="s">
        <v>105</v>
      </c>
      <c r="C58" s="100">
        <v>2261636</v>
      </c>
      <c r="D58" s="101" t="s">
        <v>187</v>
      </c>
      <c r="E58" s="101" t="s">
        <v>188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 hidden="1">
      <c r="A59" s="98" t="s">
        <v>147</v>
      </c>
      <c r="B59" s="99" t="s">
        <v>105</v>
      </c>
      <c r="C59" s="100">
        <v>2179462</v>
      </c>
      <c r="D59" s="101" t="s">
        <v>187</v>
      </c>
      <c r="E59" s="101" t="s">
        <v>188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>
      <c r="A60" s="98" t="s">
        <v>68</v>
      </c>
      <c r="B60" s="99" t="s">
        <v>105</v>
      </c>
      <c r="C60" s="100">
        <v>2131079</v>
      </c>
      <c r="D60" s="101" t="s">
        <v>187</v>
      </c>
      <c r="E60" s="101" t="s">
        <v>188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 hidden="1">
      <c r="A61" s="98" t="s">
        <v>149</v>
      </c>
      <c r="B61" s="99" t="s">
        <v>105</v>
      </c>
      <c r="C61" s="100">
        <v>2114933</v>
      </c>
      <c r="D61" s="101" t="s">
        <v>187</v>
      </c>
      <c r="E61" s="101" t="s">
        <v>188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>
      <c r="A62" s="98" t="s">
        <v>70</v>
      </c>
      <c r="B62" s="99" t="s">
        <v>105</v>
      </c>
      <c r="C62" s="100">
        <v>1845210</v>
      </c>
      <c r="D62" s="101" t="s">
        <v>187</v>
      </c>
      <c r="E62" s="101" t="s">
        <v>188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>
      <c r="A63" s="98" t="s">
        <v>69</v>
      </c>
      <c r="B63" s="99" t="s">
        <v>105</v>
      </c>
      <c r="C63" s="100">
        <v>1695452</v>
      </c>
      <c r="D63" s="101" t="s">
        <v>187</v>
      </c>
      <c r="E63" s="101" t="s">
        <v>188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 hidden="1">
      <c r="A64" s="98" t="s">
        <v>151</v>
      </c>
      <c r="B64" s="99" t="s">
        <v>105</v>
      </c>
      <c r="C64" s="100">
        <v>846327</v>
      </c>
      <c r="D64" s="101" t="s">
        <v>187</v>
      </c>
      <c r="E64" s="101" t="s">
        <v>188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>
      <c r="A65" s="98" t="s">
        <v>71</v>
      </c>
      <c r="B65" s="99" t="s">
        <v>105</v>
      </c>
      <c r="C65" s="100">
        <v>745420</v>
      </c>
      <c r="D65" s="101" t="s">
        <v>187</v>
      </c>
      <c r="E65" s="101" t="s">
        <v>188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65452</v>
      </c>
      <c r="D66" s="101" t="s">
        <v>187</v>
      </c>
      <c r="E66" s="101" t="s">
        <v>188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7"/>
      <c r="B67" s="97"/>
      <c r="C67" s="97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 hidden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 hidden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 hidden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 hidden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 hidden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 hidden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 hidden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 hidden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 hidden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 hidden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 hidden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 hidden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 hidden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 hidden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 hidden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 hidden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 hidden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 hidden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 hidden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 hidden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 hidden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 hidden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 hidden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 hidden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 hidden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 hidden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 hidden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 hidden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 hidden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 hidden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 hidden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Z1000" xr:uid="{00000000-0009-0000-0000-00000E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Z1000"/>
  <sheetViews>
    <sheetView workbookViewId="0"/>
  </sheetViews>
  <sheetFormatPr defaultColWidth="12.5703125" defaultRowHeight="15.75" customHeight="1"/>
  <cols>
    <col min="1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1162455104</v>
      </c>
      <c r="D2" s="101" t="s">
        <v>189</v>
      </c>
      <c r="E2" s="101" t="s">
        <v>190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419622634</v>
      </c>
      <c r="D3" s="101" t="s">
        <v>189</v>
      </c>
      <c r="E3" s="101" t="s">
        <v>190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221749864</v>
      </c>
      <c r="D4" s="101" t="s">
        <v>189</v>
      </c>
      <c r="E4" s="101" t="s">
        <v>190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44753998</v>
      </c>
      <c r="D5" s="101" t="s">
        <v>189</v>
      </c>
      <c r="E5" s="101" t="s">
        <v>190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 hidden="1">
      <c r="A6" s="98" t="s">
        <v>110</v>
      </c>
      <c r="B6" s="99" t="s">
        <v>105</v>
      </c>
      <c r="C6" s="100">
        <v>24767781</v>
      </c>
      <c r="D6" s="101" t="s">
        <v>189</v>
      </c>
      <c r="E6" s="101" t="s">
        <v>190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 hidden="1">
      <c r="A7" s="98" t="s">
        <v>111</v>
      </c>
      <c r="B7" s="99" t="s">
        <v>105</v>
      </c>
      <c r="C7" s="100">
        <v>22408140</v>
      </c>
      <c r="D7" s="101" t="s">
        <v>189</v>
      </c>
      <c r="E7" s="101" t="s">
        <v>190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 hidden="1">
      <c r="A8" s="98" t="s">
        <v>114</v>
      </c>
      <c r="B8" s="99" t="s">
        <v>105</v>
      </c>
      <c r="C8" s="100">
        <v>21637399</v>
      </c>
      <c r="D8" s="101" t="s">
        <v>189</v>
      </c>
      <c r="E8" s="101" t="s">
        <v>190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113</v>
      </c>
      <c r="B9" s="99" t="s">
        <v>105</v>
      </c>
      <c r="C9" s="100">
        <v>21358721</v>
      </c>
      <c r="D9" s="101" t="s">
        <v>189</v>
      </c>
      <c r="E9" s="101" t="s">
        <v>190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>
      <c r="A10" s="98" t="s">
        <v>54</v>
      </c>
      <c r="B10" s="99" t="s">
        <v>105</v>
      </c>
      <c r="C10" s="100">
        <v>19605822</v>
      </c>
      <c r="D10" s="101" t="s">
        <v>189</v>
      </c>
      <c r="E10" s="101" t="s">
        <v>190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 hidden="1">
      <c r="A11" s="98" t="s">
        <v>115</v>
      </c>
      <c r="B11" s="99" t="s">
        <v>105</v>
      </c>
      <c r="C11" s="100">
        <v>17257930</v>
      </c>
      <c r="D11" s="101" t="s">
        <v>189</v>
      </c>
      <c r="E11" s="101" t="s">
        <v>190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>
      <c r="A12" s="98" t="s">
        <v>55</v>
      </c>
      <c r="B12" s="99" t="s">
        <v>105</v>
      </c>
      <c r="C12" s="100">
        <v>16066847</v>
      </c>
      <c r="D12" s="101" t="s">
        <v>189</v>
      </c>
      <c r="E12" s="101" t="s">
        <v>190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 hidden="1">
      <c r="A13" s="98" t="s">
        <v>112</v>
      </c>
      <c r="B13" s="99" t="s">
        <v>105</v>
      </c>
      <c r="C13" s="100">
        <v>15897613</v>
      </c>
      <c r="D13" s="101" t="s">
        <v>189</v>
      </c>
      <c r="E13" s="101" t="s">
        <v>190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 hidden="1">
      <c r="A14" s="98" t="s">
        <v>117</v>
      </c>
      <c r="B14" s="99" t="s">
        <v>105</v>
      </c>
      <c r="C14" s="100">
        <v>14455380</v>
      </c>
      <c r="D14" s="101" t="s">
        <v>189</v>
      </c>
      <c r="E14" s="101" t="s">
        <v>190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 hidden="1">
      <c r="A15" s="98" t="s">
        <v>122</v>
      </c>
      <c r="B15" s="99" t="s">
        <v>105</v>
      </c>
      <c r="C15" s="100">
        <v>13828859</v>
      </c>
      <c r="D15" s="101" t="s">
        <v>189</v>
      </c>
      <c r="E15" s="101" t="s">
        <v>190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120</v>
      </c>
      <c r="B16" s="99" t="s">
        <v>105</v>
      </c>
      <c r="C16" s="100">
        <v>13779185</v>
      </c>
      <c r="D16" s="101" t="s">
        <v>189</v>
      </c>
      <c r="E16" s="101" t="s">
        <v>190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119</v>
      </c>
      <c r="B17" s="99" t="s">
        <v>105</v>
      </c>
      <c r="C17" s="100">
        <v>13308206</v>
      </c>
      <c r="D17" s="101" t="s">
        <v>189</v>
      </c>
      <c r="E17" s="101" t="s">
        <v>190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 hidden="1">
      <c r="A18" s="98" t="s">
        <v>127</v>
      </c>
      <c r="B18" s="99" t="s">
        <v>105</v>
      </c>
      <c r="C18" s="100">
        <v>12948304</v>
      </c>
      <c r="D18" s="101" t="s">
        <v>189</v>
      </c>
      <c r="E18" s="101" t="s">
        <v>190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>
      <c r="A19" s="98" t="s">
        <v>56</v>
      </c>
      <c r="B19" s="99" t="s">
        <v>105</v>
      </c>
      <c r="C19" s="100">
        <v>12014134</v>
      </c>
      <c r="D19" s="101" t="s">
        <v>189</v>
      </c>
      <c r="E19" s="101" t="s">
        <v>190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128</v>
      </c>
      <c r="B20" s="99" t="s">
        <v>105</v>
      </c>
      <c r="C20" s="100">
        <v>11938444</v>
      </c>
      <c r="D20" s="101" t="s">
        <v>189</v>
      </c>
      <c r="E20" s="101" t="s">
        <v>190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124</v>
      </c>
      <c r="B21" s="99" t="s">
        <v>105</v>
      </c>
      <c r="C21" s="100">
        <v>11500467</v>
      </c>
      <c r="D21" s="101" t="s">
        <v>189</v>
      </c>
      <c r="E21" s="101" t="s">
        <v>190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121</v>
      </c>
      <c r="B22" s="99" t="s">
        <v>105</v>
      </c>
      <c r="C22" s="100">
        <v>11448646</v>
      </c>
      <c r="D22" s="101" t="s">
        <v>189</v>
      </c>
      <c r="E22" s="101" t="s">
        <v>190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125</v>
      </c>
      <c r="B23" s="99" t="s">
        <v>105</v>
      </c>
      <c r="C23" s="100">
        <v>10646355</v>
      </c>
      <c r="D23" s="101" t="s">
        <v>189</v>
      </c>
      <c r="E23" s="101" t="s">
        <v>190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118</v>
      </c>
      <c r="B24" s="99" t="s">
        <v>105</v>
      </c>
      <c r="C24" s="100">
        <v>10036804</v>
      </c>
      <c r="D24" s="101" t="s">
        <v>189</v>
      </c>
      <c r="E24" s="101" t="s">
        <v>190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116</v>
      </c>
      <c r="B25" s="99" t="s">
        <v>105</v>
      </c>
      <c r="C25" s="100">
        <v>8769168</v>
      </c>
      <c r="D25" s="101" t="s">
        <v>189</v>
      </c>
      <c r="E25" s="101" t="s">
        <v>190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126</v>
      </c>
      <c r="B26" s="99" t="s">
        <v>105</v>
      </c>
      <c r="C26" s="100">
        <v>7786204</v>
      </c>
      <c r="D26" s="101" t="s">
        <v>189</v>
      </c>
      <c r="E26" s="101" t="s">
        <v>190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132</v>
      </c>
      <c r="B27" s="99" t="s">
        <v>105</v>
      </c>
      <c r="C27" s="100">
        <v>7582777</v>
      </c>
      <c r="D27" s="101" t="s">
        <v>189</v>
      </c>
      <c r="E27" s="101" t="s">
        <v>190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140</v>
      </c>
      <c r="B28" s="99" t="s">
        <v>105</v>
      </c>
      <c r="C28" s="100">
        <v>7490409</v>
      </c>
      <c r="D28" s="101" t="s">
        <v>189</v>
      </c>
      <c r="E28" s="101" t="s">
        <v>190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 hidden="1">
      <c r="A29" s="98" t="s">
        <v>131</v>
      </c>
      <c r="B29" s="99" t="s">
        <v>105</v>
      </c>
      <c r="C29" s="100">
        <v>7206239</v>
      </c>
      <c r="D29" s="101" t="s">
        <v>189</v>
      </c>
      <c r="E29" s="101" t="s">
        <v>190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>
      <c r="A30" s="98" t="s">
        <v>59</v>
      </c>
      <c r="B30" s="99" t="s">
        <v>105</v>
      </c>
      <c r="C30" s="100">
        <v>6854955</v>
      </c>
      <c r="D30" s="101" t="s">
        <v>189</v>
      </c>
      <c r="E30" s="101" t="s">
        <v>190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 hidden="1">
      <c r="A31" s="98" t="s">
        <v>135</v>
      </c>
      <c r="B31" s="99" t="s">
        <v>105</v>
      </c>
      <c r="C31" s="100">
        <v>6303671</v>
      </c>
      <c r="D31" s="101" t="s">
        <v>189</v>
      </c>
      <c r="E31" s="101" t="s">
        <v>190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 hidden="1">
      <c r="A32" s="98" t="s">
        <v>130</v>
      </c>
      <c r="B32" s="99" t="s">
        <v>105</v>
      </c>
      <c r="C32" s="100">
        <v>6166716</v>
      </c>
      <c r="D32" s="101" t="s">
        <v>189</v>
      </c>
      <c r="E32" s="101" t="s">
        <v>190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>
      <c r="A33" s="98" t="s">
        <v>57</v>
      </c>
      <c r="B33" s="99" t="s">
        <v>105</v>
      </c>
      <c r="C33" s="100">
        <v>6026247</v>
      </c>
      <c r="D33" s="101" t="s">
        <v>189</v>
      </c>
      <c r="E33" s="101" t="s">
        <v>190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144</v>
      </c>
      <c r="B34" s="99" t="s">
        <v>105</v>
      </c>
      <c r="C34" s="100">
        <v>5732803</v>
      </c>
      <c r="D34" s="101" t="s">
        <v>189</v>
      </c>
      <c r="E34" s="101" t="s">
        <v>190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 hidden="1">
      <c r="A35" s="98" t="s">
        <v>137</v>
      </c>
      <c r="B35" s="99" t="s">
        <v>105</v>
      </c>
      <c r="C35" s="100">
        <v>5664342</v>
      </c>
      <c r="D35" s="101" t="s">
        <v>189</v>
      </c>
      <c r="E35" s="101" t="s">
        <v>190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>
      <c r="A36" s="98" t="s">
        <v>60</v>
      </c>
      <c r="B36" s="99" t="s">
        <v>105</v>
      </c>
      <c r="C36" s="100">
        <v>5442247</v>
      </c>
      <c r="D36" s="101" t="s">
        <v>189</v>
      </c>
      <c r="E36" s="101" t="s">
        <v>190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 hidden="1">
      <c r="A37" s="98" t="s">
        <v>136</v>
      </c>
      <c r="B37" s="99" t="s">
        <v>105</v>
      </c>
      <c r="C37" s="100">
        <v>5325414</v>
      </c>
      <c r="D37" s="101" t="s">
        <v>189</v>
      </c>
      <c r="E37" s="101" t="s">
        <v>190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 hidden="1">
      <c r="A38" s="98" t="s">
        <v>141</v>
      </c>
      <c r="B38" s="99" t="s">
        <v>105</v>
      </c>
      <c r="C38" s="100">
        <v>5216317</v>
      </c>
      <c r="D38" s="101" t="s">
        <v>189</v>
      </c>
      <c r="E38" s="101" t="s">
        <v>190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 hidden="1">
      <c r="A39" s="98" t="s">
        <v>146</v>
      </c>
      <c r="B39" s="99" t="s">
        <v>105</v>
      </c>
      <c r="C39" s="100">
        <v>5189249</v>
      </c>
      <c r="D39" s="101" t="s">
        <v>189</v>
      </c>
      <c r="E39" s="101" t="s">
        <v>190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>
      <c r="A40" s="98" t="s">
        <v>61</v>
      </c>
      <c r="B40" s="99" t="s">
        <v>105</v>
      </c>
      <c r="C40" s="100">
        <v>5066786</v>
      </c>
      <c r="D40" s="101" t="s">
        <v>189</v>
      </c>
      <c r="E40" s="101" t="s">
        <v>190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 hidden="1">
      <c r="A41" s="98" t="s">
        <v>133</v>
      </c>
      <c r="B41" s="99" t="s">
        <v>105</v>
      </c>
      <c r="C41" s="100">
        <v>4930191</v>
      </c>
      <c r="D41" s="101" t="s">
        <v>189</v>
      </c>
      <c r="E41" s="101" t="s">
        <v>190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 hidden="1">
      <c r="A42" s="98" t="s">
        <v>123</v>
      </c>
      <c r="B42" s="99" t="s">
        <v>105</v>
      </c>
      <c r="C42" s="100">
        <v>4876474</v>
      </c>
      <c r="D42" s="101" t="s">
        <v>189</v>
      </c>
      <c r="E42" s="101" t="s">
        <v>190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 hidden="1">
      <c r="A43" s="98" t="s">
        <v>129</v>
      </c>
      <c r="B43" s="99" t="s">
        <v>105</v>
      </c>
      <c r="C43" s="100">
        <v>4829578</v>
      </c>
      <c r="D43" s="101" t="s">
        <v>189</v>
      </c>
      <c r="E43" s="101" t="s">
        <v>190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>
      <c r="A44" s="98" t="s">
        <v>62</v>
      </c>
      <c r="B44" s="99" t="s">
        <v>105</v>
      </c>
      <c r="C44" s="100">
        <v>4822219</v>
      </c>
      <c r="D44" s="101" t="s">
        <v>189</v>
      </c>
      <c r="E44" s="101" t="s">
        <v>190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 hidden="1">
      <c r="A45" s="98" t="s">
        <v>139</v>
      </c>
      <c r="B45" s="99" t="s">
        <v>105</v>
      </c>
      <c r="C45" s="100">
        <v>4558929</v>
      </c>
      <c r="D45" s="101" t="s">
        <v>189</v>
      </c>
      <c r="E45" s="101" t="s">
        <v>190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>
      <c r="A46" s="98" t="s">
        <v>64</v>
      </c>
      <c r="B46" s="99" t="s">
        <v>105</v>
      </c>
      <c r="C46" s="100">
        <v>4500191</v>
      </c>
      <c r="D46" s="101" t="s">
        <v>189</v>
      </c>
      <c r="E46" s="101" t="s">
        <v>190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148</v>
      </c>
      <c r="B47" s="99" t="s">
        <v>105</v>
      </c>
      <c r="C47" s="100">
        <v>4420197</v>
      </c>
      <c r="D47" s="101" t="s">
        <v>189</v>
      </c>
      <c r="E47" s="101" t="s">
        <v>190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 hidden="1">
      <c r="A48" s="98" t="s">
        <v>134</v>
      </c>
      <c r="B48" s="99" t="s">
        <v>105</v>
      </c>
      <c r="C48" s="100">
        <v>4213469</v>
      </c>
      <c r="D48" s="101" t="s">
        <v>189</v>
      </c>
      <c r="E48" s="101" t="s">
        <v>190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>
      <c r="A49" s="98" t="s">
        <v>63</v>
      </c>
      <c r="B49" s="99" t="s">
        <v>105</v>
      </c>
      <c r="C49" s="100">
        <v>3931896</v>
      </c>
      <c r="D49" s="101" t="s">
        <v>189</v>
      </c>
      <c r="E49" s="101" t="s">
        <v>190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>
      <c r="A50" s="98" t="s">
        <v>58</v>
      </c>
      <c r="B50" s="99" t="s">
        <v>105</v>
      </c>
      <c r="C50" s="100">
        <v>3851120</v>
      </c>
      <c r="D50" s="101" t="s">
        <v>189</v>
      </c>
      <c r="E50" s="101" t="s">
        <v>190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 hidden="1">
      <c r="A51" s="98" t="s">
        <v>145</v>
      </c>
      <c r="B51" s="99" t="s">
        <v>105</v>
      </c>
      <c r="C51" s="100">
        <v>3796338</v>
      </c>
      <c r="D51" s="101" t="s">
        <v>189</v>
      </c>
      <c r="E51" s="101" t="s">
        <v>190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 hidden="1">
      <c r="A52" s="98" t="s">
        <v>142</v>
      </c>
      <c r="B52" s="99" t="s">
        <v>105</v>
      </c>
      <c r="C52" s="100">
        <v>3682167</v>
      </c>
      <c r="D52" s="101" t="s">
        <v>189</v>
      </c>
      <c r="E52" s="101" t="s">
        <v>190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>
      <c r="A53" s="98" t="s">
        <v>66</v>
      </c>
      <c r="B53" s="99" t="s">
        <v>105</v>
      </c>
      <c r="C53" s="100">
        <v>3365562</v>
      </c>
      <c r="D53" s="101" t="s">
        <v>189</v>
      </c>
      <c r="E53" s="101" t="s">
        <v>190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 hidden="1">
      <c r="A54" s="98" t="s">
        <v>147</v>
      </c>
      <c r="B54" s="99" t="s">
        <v>105</v>
      </c>
      <c r="C54" s="100">
        <v>3126500</v>
      </c>
      <c r="D54" s="101" t="s">
        <v>189</v>
      </c>
      <c r="E54" s="101" t="s">
        <v>190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 hidden="1">
      <c r="A55" s="98" t="s">
        <v>143</v>
      </c>
      <c r="B55" s="99" t="s">
        <v>105</v>
      </c>
      <c r="C55" s="100">
        <v>3049126</v>
      </c>
      <c r="D55" s="101" t="s">
        <v>189</v>
      </c>
      <c r="E55" s="101" t="s">
        <v>190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>
      <c r="A56" s="98" t="s">
        <v>65</v>
      </c>
      <c r="B56" s="99" t="s">
        <v>105</v>
      </c>
      <c r="C56" s="100">
        <v>2640444</v>
      </c>
      <c r="D56" s="101" t="s">
        <v>189</v>
      </c>
      <c r="E56" s="101" t="s">
        <v>190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 hidden="1">
      <c r="A57" s="98" t="s">
        <v>138</v>
      </c>
      <c r="B57" s="99" t="s">
        <v>105</v>
      </c>
      <c r="C57" s="100">
        <v>2288258</v>
      </c>
      <c r="D57" s="101" t="s">
        <v>189</v>
      </c>
      <c r="E57" s="101" t="s">
        <v>190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>
      <c r="A58" s="98" t="s">
        <v>67</v>
      </c>
      <c r="B58" s="99" t="s">
        <v>105</v>
      </c>
      <c r="C58" s="100">
        <v>2165932</v>
      </c>
      <c r="D58" s="101" t="s">
        <v>189</v>
      </c>
      <c r="E58" s="101" t="s">
        <v>190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>
      <c r="A59" s="98" t="s">
        <v>69</v>
      </c>
      <c r="B59" s="99" t="s">
        <v>105</v>
      </c>
      <c r="C59" s="100">
        <v>2041302</v>
      </c>
      <c r="D59" s="101" t="s">
        <v>189</v>
      </c>
      <c r="E59" s="101" t="s">
        <v>190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>
      <c r="A60" s="98" t="s">
        <v>68</v>
      </c>
      <c r="B60" s="99" t="s">
        <v>105</v>
      </c>
      <c r="C60" s="100">
        <v>1960445</v>
      </c>
      <c r="D60" s="101" t="s">
        <v>189</v>
      </c>
      <c r="E60" s="101" t="s">
        <v>190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 hidden="1">
      <c r="A61" s="98" t="s">
        <v>149</v>
      </c>
      <c r="B61" s="99" t="s">
        <v>105</v>
      </c>
      <c r="C61" s="100">
        <v>1905798</v>
      </c>
      <c r="D61" s="101" t="s">
        <v>189</v>
      </c>
      <c r="E61" s="101" t="s">
        <v>190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 hidden="1">
      <c r="A62" s="98" t="s">
        <v>150</v>
      </c>
      <c r="B62" s="99" t="s">
        <v>105</v>
      </c>
      <c r="C62" s="100">
        <v>1617512</v>
      </c>
      <c r="D62" s="101" t="s">
        <v>189</v>
      </c>
      <c r="E62" s="101" t="s">
        <v>190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>
      <c r="A63" s="98" t="s">
        <v>70</v>
      </c>
      <c r="B63" s="99" t="s">
        <v>105</v>
      </c>
      <c r="C63" s="100">
        <v>1587045</v>
      </c>
      <c r="D63" s="101" t="s">
        <v>189</v>
      </c>
      <c r="E63" s="101" t="s">
        <v>190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>
      <c r="A64" s="98" t="s">
        <v>71</v>
      </c>
      <c r="B64" s="99" t="s">
        <v>105</v>
      </c>
      <c r="C64" s="100">
        <v>747261</v>
      </c>
      <c r="D64" s="101" t="s">
        <v>189</v>
      </c>
      <c r="E64" s="101" t="s">
        <v>190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 hidden="1">
      <c r="A65" s="98" t="s">
        <v>151</v>
      </c>
      <c r="B65" s="99" t="s">
        <v>105</v>
      </c>
      <c r="C65" s="100">
        <v>674724</v>
      </c>
      <c r="D65" s="101" t="s">
        <v>189</v>
      </c>
      <c r="E65" s="101" t="s">
        <v>190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17255</v>
      </c>
      <c r="D66" s="101" t="s">
        <v>189</v>
      </c>
      <c r="E66" s="101" t="s">
        <v>190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8" t="s">
        <v>153</v>
      </c>
      <c r="B67" s="99" t="s">
        <v>105</v>
      </c>
      <c r="C67" s="100">
        <v>94</v>
      </c>
      <c r="D67" s="101" t="s">
        <v>189</v>
      </c>
      <c r="E67" s="101" t="s">
        <v>190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 hidden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 hidden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 hidden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 hidden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 hidden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 hidden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 hidden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 hidden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 hidden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 hidden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 hidden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 hidden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 hidden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 hidden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 hidden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 hidden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 hidden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 hidden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 hidden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 hidden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 hidden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 hidden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 hidden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 hidden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 hidden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 hidden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 hidden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 hidden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 hidden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 hidden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 hidden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Z1000" xr:uid="{00000000-0009-0000-0000-00000F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Z1000"/>
  <sheetViews>
    <sheetView workbookViewId="0"/>
  </sheetViews>
  <sheetFormatPr defaultColWidth="12.5703125" defaultRowHeight="15.75" customHeight="1"/>
  <cols>
    <col min="1" max="1" width="25.28515625" customWidth="1"/>
    <col min="2" max="2" width="7.5703125" customWidth="1"/>
    <col min="3" max="3" width="26.140625" customWidth="1"/>
    <col min="4" max="5" width="7.5703125" customWidth="1"/>
    <col min="6" max="6" width="11.140625" customWidth="1"/>
    <col min="7" max="26" width="7.5703125" customWidth="1"/>
  </cols>
  <sheetData>
    <row r="1" spans="1:26" ht="15">
      <c r="A1" s="96" t="s">
        <v>99</v>
      </c>
      <c r="B1" s="96" t="s">
        <v>100</v>
      </c>
      <c r="C1" s="96" t="s">
        <v>101</v>
      </c>
      <c r="D1" s="96" t="s">
        <v>102</v>
      </c>
      <c r="E1" s="96" t="s">
        <v>103</v>
      </c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spans="1:26" ht="15" hidden="1">
      <c r="A2" s="98" t="s">
        <v>104</v>
      </c>
      <c r="B2" s="99" t="s">
        <v>105</v>
      </c>
      <c r="C2" s="100">
        <v>664555167</v>
      </c>
      <c r="D2" s="101" t="s">
        <v>191</v>
      </c>
      <c r="E2" s="101" t="s">
        <v>192</v>
      </c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</row>
    <row r="3" spans="1:26" ht="15" hidden="1">
      <c r="A3" s="98" t="s">
        <v>108</v>
      </c>
      <c r="B3" s="99" t="s">
        <v>105</v>
      </c>
      <c r="C3" s="100">
        <v>202058576</v>
      </c>
      <c r="D3" s="101" t="s">
        <v>191</v>
      </c>
      <c r="E3" s="101" t="s">
        <v>192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ht="15">
      <c r="A4" s="98" t="s">
        <v>53</v>
      </c>
      <c r="B4" s="99" t="s">
        <v>105</v>
      </c>
      <c r="C4" s="100">
        <v>127048785</v>
      </c>
      <c r="D4" s="101" t="s">
        <v>191</v>
      </c>
      <c r="E4" s="101" t="s">
        <v>192</v>
      </c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</row>
    <row r="5" spans="1:26" ht="15" hidden="1">
      <c r="A5" s="98" t="s">
        <v>109</v>
      </c>
      <c r="B5" s="99" t="s">
        <v>105</v>
      </c>
      <c r="C5" s="100">
        <v>27695277</v>
      </c>
      <c r="D5" s="101" t="s">
        <v>191</v>
      </c>
      <c r="E5" s="101" t="s">
        <v>192</v>
      </c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</row>
    <row r="6" spans="1:26" ht="15">
      <c r="A6" s="98" t="s">
        <v>54</v>
      </c>
      <c r="B6" s="99" t="s">
        <v>105</v>
      </c>
      <c r="C6" s="100">
        <v>14570413</v>
      </c>
      <c r="D6" s="101" t="s">
        <v>191</v>
      </c>
      <c r="E6" s="101" t="s">
        <v>192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spans="1:26" ht="15" hidden="1">
      <c r="A7" s="98" t="s">
        <v>111</v>
      </c>
      <c r="B7" s="99" t="s">
        <v>105</v>
      </c>
      <c r="C7" s="100">
        <v>13301910</v>
      </c>
      <c r="D7" s="101" t="s">
        <v>191</v>
      </c>
      <c r="E7" s="101" t="s">
        <v>192</v>
      </c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</row>
    <row r="8" spans="1:26" ht="15" hidden="1">
      <c r="A8" s="98" t="s">
        <v>110</v>
      </c>
      <c r="B8" s="99" t="s">
        <v>105</v>
      </c>
      <c r="C8" s="100">
        <v>13158751</v>
      </c>
      <c r="D8" s="101" t="s">
        <v>191</v>
      </c>
      <c r="E8" s="101" t="s">
        <v>192</v>
      </c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</row>
    <row r="9" spans="1:26" ht="15" hidden="1">
      <c r="A9" s="98" t="s">
        <v>113</v>
      </c>
      <c r="B9" s="99" t="s">
        <v>105</v>
      </c>
      <c r="C9" s="100">
        <v>13055633</v>
      </c>
      <c r="D9" s="101" t="s">
        <v>191</v>
      </c>
      <c r="E9" s="101" t="s">
        <v>192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</row>
    <row r="10" spans="1:26" ht="15" hidden="1">
      <c r="A10" s="98" t="s">
        <v>114</v>
      </c>
      <c r="B10" s="99" t="s">
        <v>105</v>
      </c>
      <c r="C10" s="100">
        <v>11897832</v>
      </c>
      <c r="D10" s="101" t="s">
        <v>191</v>
      </c>
      <c r="E10" s="101" t="s">
        <v>192</v>
      </c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</row>
    <row r="11" spans="1:26" ht="15">
      <c r="A11" s="98" t="s">
        <v>55</v>
      </c>
      <c r="B11" s="99" t="s">
        <v>105</v>
      </c>
      <c r="C11" s="100">
        <v>11289874</v>
      </c>
      <c r="D11" s="101" t="s">
        <v>191</v>
      </c>
      <c r="E11" s="101" t="s">
        <v>192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</row>
    <row r="12" spans="1:26" ht="15" hidden="1">
      <c r="A12" s="98" t="s">
        <v>115</v>
      </c>
      <c r="B12" s="99" t="s">
        <v>105</v>
      </c>
      <c r="C12" s="100">
        <v>11141062</v>
      </c>
      <c r="D12" s="101" t="s">
        <v>191</v>
      </c>
      <c r="E12" s="101" t="s">
        <v>192</v>
      </c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</row>
    <row r="13" spans="1:26" ht="15" hidden="1">
      <c r="A13" s="98" t="s">
        <v>112</v>
      </c>
      <c r="B13" s="99" t="s">
        <v>105</v>
      </c>
      <c r="C13" s="100">
        <v>10936558</v>
      </c>
      <c r="D13" s="101" t="s">
        <v>191</v>
      </c>
      <c r="E13" s="101" t="s">
        <v>192</v>
      </c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</row>
    <row r="14" spans="1:26" ht="15">
      <c r="A14" s="98" t="s">
        <v>56</v>
      </c>
      <c r="B14" s="99" t="s">
        <v>105</v>
      </c>
      <c r="C14" s="100">
        <v>8805148</v>
      </c>
      <c r="D14" s="101" t="s">
        <v>191</v>
      </c>
      <c r="E14" s="101" t="s">
        <v>192</v>
      </c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</row>
    <row r="15" spans="1:26" ht="15" hidden="1">
      <c r="A15" s="98" t="s">
        <v>119</v>
      </c>
      <c r="B15" s="99" t="s">
        <v>105</v>
      </c>
      <c r="C15" s="100">
        <v>8795104</v>
      </c>
      <c r="D15" s="101" t="s">
        <v>191</v>
      </c>
      <c r="E15" s="101" t="s">
        <v>192</v>
      </c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</row>
    <row r="16" spans="1:26" ht="15" hidden="1">
      <c r="A16" s="98" t="s">
        <v>120</v>
      </c>
      <c r="B16" s="99" t="s">
        <v>105</v>
      </c>
      <c r="C16" s="100">
        <v>8353557</v>
      </c>
      <c r="D16" s="101" t="s">
        <v>191</v>
      </c>
      <c r="E16" s="101" t="s">
        <v>192</v>
      </c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</row>
    <row r="17" spans="1:26" ht="15" hidden="1">
      <c r="A17" s="98" t="s">
        <v>117</v>
      </c>
      <c r="B17" s="99" t="s">
        <v>105</v>
      </c>
      <c r="C17" s="100">
        <v>8136566</v>
      </c>
      <c r="D17" s="101" t="s">
        <v>191</v>
      </c>
      <c r="E17" s="101" t="s">
        <v>192</v>
      </c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</row>
    <row r="18" spans="1:26" ht="15" hidden="1">
      <c r="A18" s="98" t="s">
        <v>121</v>
      </c>
      <c r="B18" s="99" t="s">
        <v>105</v>
      </c>
      <c r="C18" s="100">
        <v>8051247</v>
      </c>
      <c r="D18" s="101" t="s">
        <v>191</v>
      </c>
      <c r="E18" s="101" t="s">
        <v>192</v>
      </c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</row>
    <row r="19" spans="1:26" ht="15" hidden="1">
      <c r="A19" s="98" t="s">
        <v>127</v>
      </c>
      <c r="B19" s="99" t="s">
        <v>105</v>
      </c>
      <c r="C19" s="100">
        <v>7576289</v>
      </c>
      <c r="D19" s="101" t="s">
        <v>191</v>
      </c>
      <c r="E19" s="101" t="s">
        <v>192</v>
      </c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</row>
    <row r="20" spans="1:26" ht="15" hidden="1">
      <c r="A20" s="98" t="s">
        <v>124</v>
      </c>
      <c r="B20" s="99" t="s">
        <v>105</v>
      </c>
      <c r="C20" s="100">
        <v>7479205</v>
      </c>
      <c r="D20" s="101" t="s">
        <v>191</v>
      </c>
      <c r="E20" s="101" t="s">
        <v>192</v>
      </c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</row>
    <row r="21" spans="1:26" ht="15" hidden="1">
      <c r="A21" s="98" t="s">
        <v>118</v>
      </c>
      <c r="B21" s="99" t="s">
        <v>105</v>
      </c>
      <c r="C21" s="100">
        <v>7395586</v>
      </c>
      <c r="D21" s="101" t="s">
        <v>191</v>
      </c>
      <c r="E21" s="101" t="s">
        <v>192</v>
      </c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</row>
    <row r="22" spans="1:26" ht="15" hidden="1">
      <c r="A22" s="98" t="s">
        <v>122</v>
      </c>
      <c r="B22" s="99" t="s">
        <v>105</v>
      </c>
      <c r="C22" s="100">
        <v>7342386</v>
      </c>
      <c r="D22" s="101" t="s">
        <v>191</v>
      </c>
      <c r="E22" s="101" t="s">
        <v>192</v>
      </c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</row>
    <row r="23" spans="1:26" ht="15" hidden="1">
      <c r="A23" s="98" t="s">
        <v>128</v>
      </c>
      <c r="B23" s="99" t="s">
        <v>105</v>
      </c>
      <c r="C23" s="100">
        <v>7119625</v>
      </c>
      <c r="D23" s="101" t="s">
        <v>191</v>
      </c>
      <c r="E23" s="101" t="s">
        <v>192</v>
      </c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</row>
    <row r="24" spans="1:26" ht="15" hidden="1">
      <c r="A24" s="98" t="s">
        <v>116</v>
      </c>
      <c r="B24" s="99" t="s">
        <v>105</v>
      </c>
      <c r="C24" s="100">
        <v>6126141</v>
      </c>
      <c r="D24" s="101" t="s">
        <v>191</v>
      </c>
      <c r="E24" s="101" t="s">
        <v>192</v>
      </c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</row>
    <row r="25" spans="1:26" ht="15" hidden="1">
      <c r="A25" s="98" t="s">
        <v>125</v>
      </c>
      <c r="B25" s="99" t="s">
        <v>105</v>
      </c>
      <c r="C25" s="100">
        <v>6087807</v>
      </c>
      <c r="D25" s="101" t="s">
        <v>191</v>
      </c>
      <c r="E25" s="101" t="s">
        <v>192</v>
      </c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</row>
    <row r="26" spans="1:26" ht="15" hidden="1">
      <c r="A26" s="98" t="s">
        <v>126</v>
      </c>
      <c r="B26" s="99" t="s">
        <v>105</v>
      </c>
      <c r="C26" s="100">
        <v>5947961</v>
      </c>
      <c r="D26" s="101" t="s">
        <v>191</v>
      </c>
      <c r="E26" s="101" t="s">
        <v>192</v>
      </c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</row>
    <row r="27" spans="1:26" ht="15" hidden="1">
      <c r="A27" s="98" t="s">
        <v>135</v>
      </c>
      <c r="B27" s="99" t="s">
        <v>105</v>
      </c>
      <c r="C27" s="100">
        <v>4850646</v>
      </c>
      <c r="D27" s="101" t="s">
        <v>191</v>
      </c>
      <c r="E27" s="101" t="s">
        <v>192</v>
      </c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ht="15" hidden="1">
      <c r="A28" s="98" t="s">
        <v>136</v>
      </c>
      <c r="B28" s="99" t="s">
        <v>105</v>
      </c>
      <c r="C28" s="100">
        <v>4796545</v>
      </c>
      <c r="D28" s="101" t="s">
        <v>191</v>
      </c>
      <c r="E28" s="101" t="s">
        <v>192</v>
      </c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</row>
    <row r="29" spans="1:26" ht="15" hidden="1">
      <c r="A29" s="98" t="s">
        <v>130</v>
      </c>
      <c r="B29" s="99" t="s">
        <v>105</v>
      </c>
      <c r="C29" s="100">
        <v>4761765</v>
      </c>
      <c r="D29" s="101" t="s">
        <v>191</v>
      </c>
      <c r="E29" s="101" t="s">
        <v>192</v>
      </c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</row>
    <row r="30" spans="1:26" ht="15" hidden="1">
      <c r="A30" s="98" t="s">
        <v>132</v>
      </c>
      <c r="B30" s="99" t="s">
        <v>105</v>
      </c>
      <c r="C30" s="100">
        <v>4470084</v>
      </c>
      <c r="D30" s="101" t="s">
        <v>191</v>
      </c>
      <c r="E30" s="101" t="s">
        <v>192</v>
      </c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ht="15">
      <c r="A31" s="98" t="s">
        <v>57</v>
      </c>
      <c r="B31" s="99" t="s">
        <v>105</v>
      </c>
      <c r="C31" s="100">
        <v>4424278</v>
      </c>
      <c r="D31" s="101" t="s">
        <v>191</v>
      </c>
      <c r="E31" s="101" t="s">
        <v>192</v>
      </c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</row>
    <row r="32" spans="1:26" ht="15">
      <c r="A32" s="98" t="s">
        <v>59</v>
      </c>
      <c r="B32" s="99" t="s">
        <v>105</v>
      </c>
      <c r="C32" s="100">
        <v>4310103</v>
      </c>
      <c r="D32" s="101" t="s">
        <v>191</v>
      </c>
      <c r="E32" s="101" t="s">
        <v>192</v>
      </c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</row>
    <row r="33" spans="1:26" ht="15" hidden="1">
      <c r="A33" s="98" t="s">
        <v>131</v>
      </c>
      <c r="B33" s="99" t="s">
        <v>105</v>
      </c>
      <c r="C33" s="100">
        <v>3960377</v>
      </c>
      <c r="D33" s="101" t="s">
        <v>191</v>
      </c>
      <c r="E33" s="101" t="s">
        <v>192</v>
      </c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</row>
    <row r="34" spans="1:26" ht="15" hidden="1">
      <c r="A34" s="98" t="s">
        <v>123</v>
      </c>
      <c r="B34" s="99" t="s">
        <v>105</v>
      </c>
      <c r="C34" s="100">
        <v>3768475</v>
      </c>
      <c r="D34" s="101" t="s">
        <v>191</v>
      </c>
      <c r="E34" s="101" t="s">
        <v>192</v>
      </c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</row>
    <row r="35" spans="1:26" ht="15" hidden="1">
      <c r="A35" s="98" t="s">
        <v>134</v>
      </c>
      <c r="B35" s="99" t="s">
        <v>105</v>
      </c>
      <c r="C35" s="100">
        <v>3705302</v>
      </c>
      <c r="D35" s="101" t="s">
        <v>191</v>
      </c>
      <c r="E35" s="101" t="s">
        <v>192</v>
      </c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</row>
    <row r="36" spans="1:26" ht="15" hidden="1">
      <c r="A36" s="98" t="s">
        <v>140</v>
      </c>
      <c r="B36" s="99" t="s">
        <v>105</v>
      </c>
      <c r="C36" s="100">
        <v>3657877</v>
      </c>
      <c r="D36" s="101" t="s">
        <v>191</v>
      </c>
      <c r="E36" s="101" t="s">
        <v>192</v>
      </c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</row>
    <row r="37" spans="1:26" ht="15">
      <c r="A37" s="98" t="s">
        <v>63</v>
      </c>
      <c r="B37" s="99" t="s">
        <v>105</v>
      </c>
      <c r="C37" s="100">
        <v>3601501</v>
      </c>
      <c r="D37" s="101" t="s">
        <v>191</v>
      </c>
      <c r="E37" s="101" t="s">
        <v>192</v>
      </c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</row>
    <row r="38" spans="1:26" ht="15" hidden="1">
      <c r="A38" s="98" t="s">
        <v>129</v>
      </c>
      <c r="B38" s="99" t="s">
        <v>105</v>
      </c>
      <c r="C38" s="100">
        <v>3561821</v>
      </c>
      <c r="D38" s="101" t="s">
        <v>191</v>
      </c>
      <c r="E38" s="101" t="s">
        <v>192</v>
      </c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</row>
    <row r="39" spans="1:26" ht="15" hidden="1">
      <c r="A39" s="98" t="s">
        <v>137</v>
      </c>
      <c r="B39" s="99" t="s">
        <v>105</v>
      </c>
      <c r="C39" s="100">
        <v>3541497</v>
      </c>
      <c r="D39" s="101" t="s">
        <v>191</v>
      </c>
      <c r="E39" s="101" t="s">
        <v>192</v>
      </c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6" ht="15">
      <c r="A40" s="98" t="s">
        <v>62</v>
      </c>
      <c r="B40" s="99" t="s">
        <v>105</v>
      </c>
      <c r="C40" s="100">
        <v>3509781</v>
      </c>
      <c r="D40" s="101" t="s">
        <v>191</v>
      </c>
      <c r="E40" s="101" t="s">
        <v>192</v>
      </c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6" ht="15" hidden="1">
      <c r="A41" s="98" t="s">
        <v>148</v>
      </c>
      <c r="B41" s="99" t="s">
        <v>105</v>
      </c>
      <c r="C41" s="100">
        <v>3383850</v>
      </c>
      <c r="D41" s="101" t="s">
        <v>191</v>
      </c>
      <c r="E41" s="101" t="s">
        <v>192</v>
      </c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6" ht="15">
      <c r="A42" s="98" t="s">
        <v>61</v>
      </c>
      <c r="B42" s="99" t="s">
        <v>105</v>
      </c>
      <c r="C42" s="100">
        <v>3224009</v>
      </c>
      <c r="D42" s="101" t="s">
        <v>191</v>
      </c>
      <c r="E42" s="101" t="s">
        <v>192</v>
      </c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ht="15" hidden="1">
      <c r="A43" s="98" t="s">
        <v>133</v>
      </c>
      <c r="B43" s="99" t="s">
        <v>105</v>
      </c>
      <c r="C43" s="100">
        <v>3188660</v>
      </c>
      <c r="D43" s="101" t="s">
        <v>191</v>
      </c>
      <c r="E43" s="101" t="s">
        <v>192</v>
      </c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6" ht="15" hidden="1">
      <c r="A44" s="98" t="s">
        <v>146</v>
      </c>
      <c r="B44" s="99" t="s">
        <v>105</v>
      </c>
      <c r="C44" s="100">
        <v>3144358</v>
      </c>
      <c r="D44" s="101" t="s">
        <v>191</v>
      </c>
      <c r="E44" s="101" t="s">
        <v>192</v>
      </c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6" ht="15">
      <c r="A45" s="98" t="s">
        <v>60</v>
      </c>
      <c r="B45" s="99" t="s">
        <v>105</v>
      </c>
      <c r="C45" s="100">
        <v>3139874</v>
      </c>
      <c r="D45" s="101" t="s">
        <v>191</v>
      </c>
      <c r="E45" s="101" t="s">
        <v>192</v>
      </c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6" ht="15" hidden="1">
      <c r="A46" s="98" t="s">
        <v>141</v>
      </c>
      <c r="B46" s="99" t="s">
        <v>105</v>
      </c>
      <c r="C46" s="100">
        <v>3110670</v>
      </c>
      <c r="D46" s="101" t="s">
        <v>191</v>
      </c>
      <c r="E46" s="101" t="s">
        <v>192</v>
      </c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6" ht="15" hidden="1">
      <c r="A47" s="98" t="s">
        <v>144</v>
      </c>
      <c r="B47" s="99" t="s">
        <v>105</v>
      </c>
      <c r="C47" s="100">
        <v>2875806</v>
      </c>
      <c r="D47" s="101" t="s">
        <v>191</v>
      </c>
      <c r="E47" s="101" t="s">
        <v>192</v>
      </c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6" ht="15" hidden="1">
      <c r="A48" s="98" t="s">
        <v>145</v>
      </c>
      <c r="B48" s="99" t="s">
        <v>105</v>
      </c>
      <c r="C48" s="100">
        <v>2873930</v>
      </c>
      <c r="D48" s="101" t="s">
        <v>191</v>
      </c>
      <c r="E48" s="101" t="s">
        <v>192</v>
      </c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ht="15" hidden="1">
      <c r="A49" s="98" t="s">
        <v>139</v>
      </c>
      <c r="B49" s="99" t="s">
        <v>105</v>
      </c>
      <c r="C49" s="100">
        <v>2760414</v>
      </c>
      <c r="D49" s="101" t="s">
        <v>191</v>
      </c>
      <c r="E49" s="101" t="s">
        <v>192</v>
      </c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ht="15" hidden="1">
      <c r="A50" s="98" t="s">
        <v>142</v>
      </c>
      <c r="B50" s="99" t="s">
        <v>105</v>
      </c>
      <c r="C50" s="100">
        <v>2631932</v>
      </c>
      <c r="D50" s="101" t="s">
        <v>191</v>
      </c>
      <c r="E50" s="101" t="s">
        <v>192</v>
      </c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ht="15">
      <c r="A51" s="98" t="s">
        <v>64</v>
      </c>
      <c r="B51" s="99" t="s">
        <v>105</v>
      </c>
      <c r="C51" s="100">
        <v>2569700</v>
      </c>
      <c r="D51" s="101" t="s">
        <v>191</v>
      </c>
      <c r="E51" s="101" t="s">
        <v>192</v>
      </c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ht="15" hidden="1">
      <c r="A52" s="98" t="s">
        <v>138</v>
      </c>
      <c r="B52" s="99" t="s">
        <v>105</v>
      </c>
      <c r="C52" s="100">
        <v>2559903</v>
      </c>
      <c r="D52" s="101" t="s">
        <v>191</v>
      </c>
      <c r="E52" s="101" t="s">
        <v>192</v>
      </c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ht="15">
      <c r="A53" s="98" t="s">
        <v>58</v>
      </c>
      <c r="B53" s="99" t="s">
        <v>105</v>
      </c>
      <c r="C53" s="100">
        <v>2511511</v>
      </c>
      <c r="D53" s="101" t="s">
        <v>191</v>
      </c>
      <c r="E53" s="101" t="s">
        <v>192</v>
      </c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ht="15">
      <c r="A54" s="98" t="s">
        <v>66</v>
      </c>
      <c r="B54" s="99" t="s">
        <v>105</v>
      </c>
      <c r="C54" s="100">
        <v>2207092</v>
      </c>
      <c r="D54" s="101" t="s">
        <v>191</v>
      </c>
      <c r="E54" s="101" t="s">
        <v>192</v>
      </c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ht="15" hidden="1">
      <c r="A55" s="98" t="s">
        <v>143</v>
      </c>
      <c r="B55" s="99" t="s">
        <v>105</v>
      </c>
      <c r="C55" s="100">
        <v>1917515</v>
      </c>
      <c r="D55" s="101" t="s">
        <v>191</v>
      </c>
      <c r="E55" s="101" t="s">
        <v>192</v>
      </c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ht="15" hidden="1">
      <c r="A56" s="98" t="s">
        <v>147</v>
      </c>
      <c r="B56" s="99" t="s">
        <v>105</v>
      </c>
      <c r="C56" s="100">
        <v>1907440</v>
      </c>
      <c r="D56" s="101" t="s">
        <v>191</v>
      </c>
      <c r="E56" s="101" t="s">
        <v>192</v>
      </c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ht="15">
      <c r="A57" s="98" t="s">
        <v>67</v>
      </c>
      <c r="B57" s="99" t="s">
        <v>105</v>
      </c>
      <c r="C57" s="100">
        <v>1839499</v>
      </c>
      <c r="D57" s="101" t="s">
        <v>191</v>
      </c>
      <c r="E57" s="101" t="s">
        <v>192</v>
      </c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ht="15">
      <c r="A58" s="98" t="s">
        <v>69</v>
      </c>
      <c r="B58" s="99" t="s">
        <v>105</v>
      </c>
      <c r="C58" s="100">
        <v>1786267</v>
      </c>
      <c r="D58" s="101" t="s">
        <v>191</v>
      </c>
      <c r="E58" s="101" t="s">
        <v>192</v>
      </c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ht="15">
      <c r="A59" s="98" t="s">
        <v>65</v>
      </c>
      <c r="B59" s="99" t="s">
        <v>105</v>
      </c>
      <c r="C59" s="100">
        <v>1669360</v>
      </c>
      <c r="D59" s="101" t="s">
        <v>191</v>
      </c>
      <c r="E59" s="101" t="s">
        <v>192</v>
      </c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ht="15" hidden="1">
      <c r="A60" s="98" t="s">
        <v>150</v>
      </c>
      <c r="B60" s="99" t="s">
        <v>105</v>
      </c>
      <c r="C60" s="100">
        <v>1237682</v>
      </c>
      <c r="D60" s="101" t="s">
        <v>191</v>
      </c>
      <c r="E60" s="101" t="s">
        <v>192</v>
      </c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ht="15">
      <c r="A61" s="98" t="s">
        <v>70</v>
      </c>
      <c r="B61" s="99" t="s">
        <v>105</v>
      </c>
      <c r="C61" s="100">
        <v>1021750</v>
      </c>
      <c r="D61" s="101" t="s">
        <v>191</v>
      </c>
      <c r="E61" s="101" t="s">
        <v>192</v>
      </c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ht="15" hidden="1">
      <c r="A62" s="98" t="s">
        <v>149</v>
      </c>
      <c r="B62" s="99" t="s">
        <v>105</v>
      </c>
      <c r="C62" s="100">
        <v>927603</v>
      </c>
      <c r="D62" s="101" t="s">
        <v>191</v>
      </c>
      <c r="E62" s="101" t="s">
        <v>192</v>
      </c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ht="15">
      <c r="A63" s="98" t="s">
        <v>68</v>
      </c>
      <c r="B63" s="99" t="s">
        <v>105</v>
      </c>
      <c r="C63" s="100">
        <v>920426</v>
      </c>
      <c r="D63" s="101" t="s">
        <v>191</v>
      </c>
      <c r="E63" s="101" t="s">
        <v>192</v>
      </c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ht="15" hidden="1">
      <c r="A64" s="98" t="s">
        <v>151</v>
      </c>
      <c r="B64" s="99" t="s">
        <v>105</v>
      </c>
      <c r="C64" s="100">
        <v>425743</v>
      </c>
      <c r="D64" s="101" t="s">
        <v>191</v>
      </c>
      <c r="E64" s="101" t="s">
        <v>192</v>
      </c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ht="15">
      <c r="A65" s="98" t="s">
        <v>71</v>
      </c>
      <c r="B65" s="99" t="s">
        <v>105</v>
      </c>
      <c r="C65" s="100">
        <v>401282</v>
      </c>
      <c r="D65" s="101" t="s">
        <v>191</v>
      </c>
      <c r="E65" s="101" t="s">
        <v>192</v>
      </c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ht="15" hidden="1">
      <c r="A66" s="98" t="s">
        <v>152</v>
      </c>
      <c r="B66" s="99" t="s">
        <v>105</v>
      </c>
      <c r="C66" s="100">
        <v>23893</v>
      </c>
      <c r="D66" s="101" t="s">
        <v>191</v>
      </c>
      <c r="E66" s="101" t="s">
        <v>192</v>
      </c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ht="15" hidden="1">
      <c r="A67" s="98" t="s">
        <v>153</v>
      </c>
      <c r="B67" s="99" t="s">
        <v>105</v>
      </c>
      <c r="C67" s="100">
        <v>436</v>
      </c>
      <c r="D67" s="101" t="s">
        <v>191</v>
      </c>
      <c r="E67" s="101" t="s">
        <v>192</v>
      </c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ht="15" hidden="1">
      <c r="A68" s="97"/>
      <c r="B68" s="97"/>
      <c r="C68" s="97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ht="15" hidden="1">
      <c r="A69" s="97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ht="15" hidden="1">
      <c r="A70" s="97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ht="15" hidden="1">
      <c r="A71" s="97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ht="15" hidden="1">
      <c r="A72" s="97"/>
      <c r="B72" s="97"/>
      <c r="C72" s="97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97"/>
      <c r="T72" s="97"/>
      <c r="U72" s="97"/>
      <c r="V72" s="97"/>
      <c r="W72" s="97"/>
      <c r="X72" s="97"/>
      <c r="Y72" s="97"/>
      <c r="Z72" s="97"/>
    </row>
    <row r="73" spans="1:26" ht="15" hidden="1">
      <c r="A73" s="97"/>
      <c r="B73" s="97"/>
      <c r="C73" s="97"/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7"/>
      <c r="Z73" s="97"/>
    </row>
    <row r="74" spans="1:26" ht="15" hidden="1">
      <c r="A74" s="97"/>
      <c r="B74" s="97"/>
      <c r="C74" s="97"/>
      <c r="D74" s="97"/>
      <c r="E74" s="97"/>
      <c r="F74" s="97"/>
      <c r="G74" s="97"/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/>
      <c r="S74" s="97"/>
      <c r="T74" s="97"/>
      <c r="U74" s="97"/>
      <c r="V74" s="97"/>
      <c r="W74" s="97"/>
      <c r="X74" s="97"/>
      <c r="Y74" s="97"/>
      <c r="Z74" s="97"/>
    </row>
    <row r="75" spans="1:26" ht="15" hidden="1">
      <c r="A75" s="97"/>
      <c r="B75" s="97"/>
      <c r="C75" s="97"/>
      <c r="D75" s="97"/>
      <c r="E75" s="97"/>
      <c r="F75" s="97"/>
      <c r="G75" s="97"/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7"/>
      <c r="V75" s="97"/>
      <c r="W75" s="97"/>
      <c r="X75" s="97"/>
      <c r="Y75" s="97"/>
      <c r="Z75" s="97"/>
    </row>
    <row r="76" spans="1:26" ht="15" hidden="1">
      <c r="A76" s="97"/>
      <c r="B76" s="97"/>
      <c r="C76" s="97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97"/>
      <c r="V76" s="97"/>
      <c r="W76" s="97"/>
      <c r="X76" s="97"/>
      <c r="Y76" s="97"/>
      <c r="Z76" s="97"/>
    </row>
    <row r="77" spans="1:26" ht="15" hidden="1">
      <c r="A77" s="97"/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</row>
    <row r="78" spans="1:26" ht="15" hidden="1">
      <c r="A78" s="97"/>
      <c r="B78" s="97"/>
      <c r="C78" s="97"/>
      <c r="D78" s="97"/>
      <c r="E78" s="97"/>
      <c r="F78" s="97"/>
      <c r="G78" s="97"/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79" spans="1:26" ht="15" hidden="1">
      <c r="A79" s="97"/>
      <c r="B79" s="97"/>
      <c r="C79" s="97"/>
      <c r="D79" s="97"/>
      <c r="E79" s="97"/>
      <c r="F79" s="97"/>
      <c r="G79" s="97"/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</row>
    <row r="80" spans="1:26" ht="15" hidden="1">
      <c r="A80" s="97"/>
      <c r="B80" s="97"/>
      <c r="C80" s="97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</row>
    <row r="81" spans="1:26" ht="15" hidden="1">
      <c r="A81" s="97"/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</row>
    <row r="82" spans="1:26" ht="15" hidden="1">
      <c r="A82" s="97"/>
      <c r="B82" s="97"/>
      <c r="C82" s="97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</row>
    <row r="83" spans="1:26" ht="15" hidden="1">
      <c r="A83" s="97"/>
      <c r="B83" s="97"/>
      <c r="C83" s="97"/>
      <c r="D83" s="97"/>
      <c r="E83" s="97"/>
      <c r="F83" s="97"/>
      <c r="G83" s="97"/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</row>
    <row r="84" spans="1:26" ht="15" hidden="1">
      <c r="A84" s="97"/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</row>
    <row r="85" spans="1:26" ht="15" hidden="1">
      <c r="A85" s="97"/>
      <c r="B85" s="97"/>
      <c r="C85" s="97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</row>
    <row r="86" spans="1:26" ht="15" hidden="1">
      <c r="A86" s="97"/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15" hidden="1">
      <c r="A87" s="97"/>
      <c r="B87" s="97"/>
      <c r="C87" s="97"/>
      <c r="D87" s="97"/>
      <c r="E87" s="9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</row>
    <row r="88" spans="1:26" ht="15" hidden="1">
      <c r="A88" s="97"/>
      <c r="B88" s="97"/>
      <c r="C88" s="97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</row>
    <row r="89" spans="1:26" ht="15" hidden="1">
      <c r="A89" s="97"/>
      <c r="B89" s="97"/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</row>
    <row r="90" spans="1:26" ht="15" hidden="1">
      <c r="A90" s="97"/>
      <c r="B90" s="97"/>
      <c r="C90" s="97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</row>
    <row r="91" spans="1:26" ht="15" hidden="1">
      <c r="A91" s="97"/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</row>
    <row r="92" spans="1:26" ht="15" hidden="1">
      <c r="A92" s="97"/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</row>
    <row r="93" spans="1:26" ht="15" hidden="1">
      <c r="A93" s="97"/>
      <c r="B93" s="97"/>
      <c r="C93" s="97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5" hidden="1">
      <c r="A94" s="97"/>
      <c r="B94" s="97"/>
      <c r="C94" s="97"/>
      <c r="D94" s="97"/>
      <c r="E94" s="97"/>
      <c r="F94" s="97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</row>
    <row r="95" spans="1:26" ht="15" hidden="1">
      <c r="A95" s="97"/>
      <c r="B95" s="97"/>
      <c r="C95" s="97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</row>
    <row r="96" spans="1:26" ht="15" hidden="1">
      <c r="A96" s="97"/>
      <c r="B96" s="97"/>
      <c r="C96" s="97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</row>
    <row r="97" spans="1:26" ht="15" hidden="1">
      <c r="A97" s="97"/>
      <c r="B97" s="97"/>
      <c r="C97" s="97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</row>
    <row r="98" spans="1:26" ht="15" hidden="1">
      <c r="A98" s="97"/>
      <c r="B98" s="97"/>
      <c r="C98" s="97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</row>
    <row r="99" spans="1:26" ht="15" hidden="1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</row>
    <row r="100" spans="1:26" ht="15" hidden="1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</row>
    <row r="101" spans="1:26" ht="15" hidden="1">
      <c r="A101" s="97"/>
      <c r="B101" s="97"/>
      <c r="C101" s="97"/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</row>
    <row r="102" spans="1:26" ht="15" hidden="1">
      <c r="A102" s="97"/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</row>
    <row r="103" spans="1:26" ht="15" hidden="1">
      <c r="A103" s="97"/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</row>
    <row r="104" spans="1:26" ht="15" hidden="1">
      <c r="A104" s="97"/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</row>
    <row r="105" spans="1:26" ht="15" hidden="1">
      <c r="A105" s="97"/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</row>
    <row r="106" spans="1:26" ht="15" hidden="1">
      <c r="A106" s="97"/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</row>
    <row r="107" spans="1:26" ht="15" hidden="1">
      <c r="A107" s="97"/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</row>
    <row r="108" spans="1:26" ht="15" hidden="1">
      <c r="A108" s="97"/>
      <c r="B108" s="97"/>
      <c r="C108" s="97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7"/>
      <c r="Z108" s="97"/>
    </row>
    <row r="109" spans="1:26" ht="15" hidden="1">
      <c r="A109" s="97"/>
      <c r="B109" s="97"/>
      <c r="C109" s="97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15" hidden="1">
      <c r="A110" s="97"/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spans="1:26" ht="15" hidden="1">
      <c r="A111" s="97"/>
      <c r="B111" s="97"/>
      <c r="C111" s="97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97"/>
      <c r="V111" s="97"/>
      <c r="W111" s="97"/>
      <c r="X111" s="97"/>
      <c r="Y111" s="97"/>
      <c r="Z111" s="97"/>
    </row>
    <row r="112" spans="1:26" ht="15" hidden="1">
      <c r="A112" s="97"/>
      <c r="B112" s="97"/>
      <c r="C112" s="97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</row>
    <row r="113" spans="1:26" ht="15" hidden="1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15" hidden="1">
      <c r="A114" s="97"/>
      <c r="B114" s="97"/>
      <c r="C114" s="97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</row>
    <row r="115" spans="1:26" ht="15" hidden="1">
      <c r="A115" s="97"/>
      <c r="B115" s="97"/>
      <c r="C115" s="97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</row>
    <row r="116" spans="1:26" ht="15" hidden="1">
      <c r="A116" s="97"/>
      <c r="B116" s="97"/>
      <c r="C116" s="97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ht="15" hidden="1">
      <c r="A117" s="97"/>
      <c r="B117" s="97"/>
      <c r="C117" s="97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</row>
    <row r="118" spans="1:26" ht="15" hidden="1">
      <c r="A118" s="97"/>
      <c r="B118" s="97"/>
      <c r="C118" s="97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ht="15" hidden="1">
      <c r="A119" s="97"/>
      <c r="B119" s="97"/>
      <c r="C119" s="97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</row>
    <row r="120" spans="1:26" ht="15" hidden="1">
      <c r="A120" s="97"/>
      <c r="B120" s="97"/>
      <c r="C120" s="97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ht="15" hidden="1">
      <c r="A121" s="97"/>
      <c r="B121" s="97"/>
      <c r="C121" s="97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</row>
    <row r="122" spans="1:26" ht="15" hidden="1">
      <c r="A122" s="97"/>
      <c r="B122" s="97"/>
      <c r="C122" s="97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ht="15" hidden="1">
      <c r="A123" s="97"/>
      <c r="B123" s="97"/>
      <c r="C123" s="97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</row>
    <row r="124" spans="1:26" ht="15" hidden="1">
      <c r="A124" s="97"/>
      <c r="B124" s="97"/>
      <c r="C124" s="97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ht="15" hidden="1">
      <c r="A125" s="97"/>
      <c r="B125" s="97"/>
      <c r="C125" s="97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</row>
    <row r="126" spans="1:26" ht="15" hidden="1">
      <c r="A126" s="97"/>
      <c r="B126" s="97"/>
      <c r="C126" s="97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ht="15" hidden="1">
      <c r="A127" s="97"/>
      <c r="B127" s="97"/>
      <c r="C127" s="97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</row>
    <row r="128" spans="1:26" ht="15" hidden="1">
      <c r="A128" s="97"/>
      <c r="B128" s="97"/>
      <c r="C128" s="97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15" hidden="1">
      <c r="A129" s="97"/>
      <c r="B129" s="97"/>
      <c r="C129" s="97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</row>
    <row r="130" spans="1:26" ht="15" hidden="1">
      <c r="A130" s="97"/>
      <c r="B130" s="97"/>
      <c r="C130" s="97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ht="15" hidden="1">
      <c r="A131" s="97"/>
      <c r="B131" s="97"/>
      <c r="C131" s="97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</row>
    <row r="132" spans="1:26" ht="15" hidden="1">
      <c r="A132" s="97"/>
      <c r="B132" s="97"/>
      <c r="C132" s="97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5" hidden="1">
      <c r="A133" s="97"/>
      <c r="B133" s="97"/>
      <c r="C133" s="97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</row>
    <row r="134" spans="1:26" ht="15" hidden="1">
      <c r="A134" s="97"/>
      <c r="B134" s="97"/>
      <c r="C134" s="97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</row>
    <row r="135" spans="1:26" ht="15" hidden="1">
      <c r="A135" s="97"/>
      <c r="B135" s="97"/>
      <c r="C135" s="97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97"/>
      <c r="V135" s="97"/>
      <c r="W135" s="97"/>
      <c r="X135" s="97"/>
      <c r="Y135" s="97"/>
      <c r="Z135" s="97"/>
    </row>
    <row r="136" spans="1:26" ht="15" hidden="1">
      <c r="A136" s="97"/>
      <c r="B136" s="97"/>
      <c r="C136" s="97"/>
      <c r="D136" s="97"/>
      <c r="E136" s="97"/>
      <c r="F136" s="97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7"/>
      <c r="Z136" s="97"/>
    </row>
    <row r="137" spans="1:26" ht="15" hidden="1">
      <c r="A137" s="97"/>
      <c r="B137" s="97"/>
      <c r="C137" s="97"/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7"/>
      <c r="W137" s="97"/>
      <c r="X137" s="97"/>
      <c r="Y137" s="97"/>
      <c r="Z137" s="97"/>
    </row>
    <row r="138" spans="1:26" ht="15" hidden="1">
      <c r="A138" s="97"/>
      <c r="B138" s="97"/>
      <c r="C138" s="97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7"/>
      <c r="V138" s="97"/>
      <c r="W138" s="97"/>
      <c r="X138" s="97"/>
      <c r="Y138" s="97"/>
      <c r="Z138" s="97"/>
    </row>
    <row r="139" spans="1:26" ht="15" hidden="1">
      <c r="A139" s="97"/>
      <c r="B139" s="97"/>
      <c r="C139" s="97"/>
      <c r="D139" s="97"/>
      <c r="E139" s="97"/>
      <c r="F139" s="97"/>
      <c r="G139" s="97"/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/>
      <c r="S139" s="97"/>
      <c r="T139" s="97"/>
      <c r="U139" s="97"/>
      <c r="V139" s="97"/>
      <c r="W139" s="97"/>
      <c r="X139" s="97"/>
      <c r="Y139" s="97"/>
      <c r="Z139" s="97"/>
    </row>
    <row r="140" spans="1:26" ht="15" hidden="1">
      <c r="A140" s="97"/>
      <c r="B140" s="97"/>
      <c r="C140" s="97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5" hidden="1">
      <c r="A141" s="97"/>
      <c r="B141" s="97"/>
      <c r="C141" s="97"/>
      <c r="D141" s="97"/>
      <c r="E141" s="97"/>
      <c r="F141" s="97"/>
      <c r="G141" s="97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7"/>
      <c r="T141" s="97"/>
      <c r="U141" s="97"/>
      <c r="V141" s="97"/>
      <c r="W141" s="97"/>
      <c r="X141" s="97"/>
      <c r="Y141" s="97"/>
      <c r="Z141" s="97"/>
    </row>
    <row r="142" spans="1:26" ht="15" hidden="1">
      <c r="A142" s="97"/>
      <c r="B142" s="97"/>
      <c r="C142" s="97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</row>
    <row r="143" spans="1:26" ht="15" hidden="1">
      <c r="A143" s="97"/>
      <c r="B143" s="97"/>
      <c r="C143" s="97"/>
      <c r="D143" s="97"/>
      <c r="E143" s="97"/>
      <c r="F143" s="97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7"/>
      <c r="Z143" s="97"/>
    </row>
    <row r="144" spans="1:26" ht="15" hidden="1">
      <c r="A144" s="97"/>
      <c r="B144" s="97"/>
      <c r="C144" s="97"/>
      <c r="D144" s="97"/>
      <c r="E144" s="97"/>
      <c r="F144" s="97"/>
      <c r="G144" s="97"/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/>
      <c r="S144" s="97"/>
      <c r="T144" s="97"/>
      <c r="U144" s="97"/>
      <c r="V144" s="97"/>
      <c r="W144" s="97"/>
      <c r="X144" s="97"/>
      <c r="Y144" s="97"/>
      <c r="Z144" s="97"/>
    </row>
    <row r="145" spans="1:26" ht="15" hidden="1">
      <c r="A145" s="97"/>
      <c r="B145" s="97"/>
      <c r="C145" s="97"/>
      <c r="D145" s="97"/>
      <c r="E145" s="97"/>
      <c r="F145" s="97"/>
      <c r="G145" s="97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7"/>
      <c r="W145" s="97"/>
      <c r="X145" s="97"/>
      <c r="Y145" s="97"/>
      <c r="Z145" s="97"/>
    </row>
    <row r="146" spans="1:26" ht="15" hidden="1">
      <c r="A146" s="97"/>
      <c r="B146" s="97"/>
      <c r="C146" s="97"/>
      <c r="D146" s="97"/>
      <c r="E146" s="97"/>
      <c r="F146" s="97"/>
      <c r="G146" s="97"/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/>
      <c r="S146" s="97"/>
      <c r="T146" s="97"/>
      <c r="U146" s="97"/>
      <c r="V146" s="97"/>
      <c r="W146" s="97"/>
      <c r="X146" s="97"/>
      <c r="Y146" s="97"/>
      <c r="Z146" s="97"/>
    </row>
    <row r="147" spans="1:26" ht="15" hidden="1">
      <c r="A147" s="97"/>
      <c r="B147" s="97"/>
      <c r="C147" s="97"/>
      <c r="D147" s="97"/>
      <c r="E147" s="9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/>
      <c r="S147" s="97"/>
      <c r="T147" s="97"/>
      <c r="U147" s="97"/>
      <c r="V147" s="97"/>
      <c r="W147" s="97"/>
      <c r="X147" s="97"/>
      <c r="Y147" s="97"/>
      <c r="Z147" s="97"/>
    </row>
    <row r="148" spans="1:26" ht="15" hidden="1">
      <c r="A148" s="97"/>
      <c r="B148" s="97"/>
      <c r="C148" s="97"/>
      <c r="D148" s="97"/>
      <c r="E148" s="97"/>
      <c r="F148" s="97"/>
      <c r="G148" s="97"/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/>
      <c r="S148" s="97"/>
      <c r="T148" s="97"/>
      <c r="U148" s="97"/>
      <c r="V148" s="97"/>
      <c r="W148" s="97"/>
      <c r="X148" s="97"/>
      <c r="Y148" s="97"/>
      <c r="Z148" s="97"/>
    </row>
    <row r="149" spans="1:26" ht="15" hidden="1">
      <c r="A149" s="97"/>
      <c r="B149" s="97"/>
      <c r="C149" s="97"/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7"/>
      <c r="T149" s="97"/>
      <c r="U149" s="97"/>
      <c r="V149" s="97"/>
      <c r="W149" s="97"/>
      <c r="X149" s="97"/>
      <c r="Y149" s="97"/>
      <c r="Z149" s="97"/>
    </row>
    <row r="150" spans="1:26" ht="15" hidden="1">
      <c r="A150" s="97"/>
      <c r="B150" s="97"/>
      <c r="C150" s="97"/>
      <c r="D150" s="97"/>
      <c r="E150" s="97"/>
      <c r="F150" s="97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7"/>
      <c r="Z150" s="97"/>
    </row>
    <row r="151" spans="1:26" ht="15" hidden="1">
      <c r="A151" s="97"/>
      <c r="B151" s="97"/>
      <c r="C151" s="97"/>
      <c r="D151" s="97"/>
      <c r="E151" s="97"/>
      <c r="F151" s="97"/>
      <c r="G151" s="97"/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/>
      <c r="S151" s="97"/>
      <c r="T151" s="97"/>
      <c r="U151" s="97"/>
      <c r="V151" s="97"/>
      <c r="W151" s="97"/>
      <c r="X151" s="97"/>
      <c r="Y151" s="97"/>
      <c r="Z151" s="97"/>
    </row>
    <row r="152" spans="1:26" ht="15" hidden="1">
      <c r="A152" s="97"/>
      <c r="B152" s="97"/>
      <c r="C152" s="97"/>
      <c r="D152" s="97"/>
      <c r="E152" s="97"/>
      <c r="F152" s="97"/>
      <c r="G152" s="97"/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7"/>
      <c r="V152" s="97"/>
      <c r="W152" s="97"/>
      <c r="X152" s="97"/>
      <c r="Y152" s="97"/>
      <c r="Z152" s="97"/>
    </row>
    <row r="153" spans="1:26" ht="15" hidden="1">
      <c r="A153" s="97"/>
      <c r="B153" s="97"/>
      <c r="C153" s="97"/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7"/>
      <c r="W153" s="97"/>
      <c r="X153" s="97"/>
      <c r="Y153" s="97"/>
      <c r="Z153" s="97"/>
    </row>
    <row r="154" spans="1:26" ht="15" hidden="1">
      <c r="A154" s="97"/>
      <c r="B154" s="97"/>
      <c r="C154" s="97"/>
      <c r="D154" s="97"/>
      <c r="E154" s="97"/>
      <c r="F154" s="97"/>
      <c r="G154" s="97"/>
      <c r="H154" s="97"/>
      <c r="I154" s="97"/>
      <c r="J154" s="97"/>
      <c r="K154" s="97"/>
      <c r="L154" s="97"/>
      <c r="M154" s="97"/>
      <c r="N154" s="97"/>
      <c r="O154" s="97"/>
      <c r="P154" s="97"/>
      <c r="Q154" s="97"/>
      <c r="R154" s="97"/>
      <c r="S154" s="97"/>
      <c r="T154" s="97"/>
      <c r="U154" s="97"/>
      <c r="V154" s="97"/>
      <c r="W154" s="97"/>
      <c r="X154" s="97"/>
      <c r="Y154" s="97"/>
      <c r="Z154" s="97"/>
    </row>
    <row r="155" spans="1:26" ht="15" hidden="1">
      <c r="A155" s="97"/>
      <c r="B155" s="97"/>
      <c r="C155" s="97"/>
      <c r="D155" s="97"/>
      <c r="E155" s="97"/>
      <c r="F155" s="97"/>
      <c r="G155" s="97"/>
      <c r="H155" s="97"/>
      <c r="I155" s="97"/>
      <c r="J155" s="97"/>
      <c r="K155" s="97"/>
      <c r="L155" s="97"/>
      <c r="M155" s="97"/>
      <c r="N155" s="97"/>
      <c r="O155" s="97"/>
      <c r="P155" s="97"/>
      <c r="Q155" s="97"/>
      <c r="R155" s="97"/>
      <c r="S155" s="97"/>
      <c r="T155" s="97"/>
      <c r="U155" s="97"/>
      <c r="V155" s="97"/>
      <c r="W155" s="97"/>
      <c r="X155" s="97"/>
      <c r="Y155" s="97"/>
      <c r="Z155" s="97"/>
    </row>
    <row r="156" spans="1:26" ht="15" hidden="1">
      <c r="A156" s="97"/>
      <c r="B156" s="97"/>
      <c r="C156" s="97"/>
      <c r="D156" s="97"/>
      <c r="E156" s="97"/>
      <c r="F156" s="97"/>
      <c r="G156" s="97"/>
      <c r="H156" s="97"/>
      <c r="I156" s="97"/>
      <c r="J156" s="97"/>
      <c r="K156" s="97"/>
      <c r="L156" s="97"/>
      <c r="M156" s="97"/>
      <c r="N156" s="97"/>
      <c r="O156" s="97"/>
      <c r="P156" s="97"/>
      <c r="Q156" s="97"/>
      <c r="R156" s="97"/>
      <c r="S156" s="97"/>
      <c r="T156" s="97"/>
      <c r="U156" s="97"/>
      <c r="V156" s="97"/>
      <c r="W156" s="97"/>
      <c r="X156" s="97"/>
      <c r="Y156" s="97"/>
      <c r="Z156" s="97"/>
    </row>
    <row r="157" spans="1:26" ht="15" hidden="1">
      <c r="A157" s="97"/>
      <c r="B157" s="97"/>
      <c r="C157" s="97"/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7"/>
      <c r="Z157" s="97"/>
    </row>
    <row r="158" spans="1:26" ht="15" hidden="1">
      <c r="A158" s="97"/>
      <c r="B158" s="97"/>
      <c r="C158" s="97"/>
      <c r="D158" s="97"/>
      <c r="E158" s="97"/>
      <c r="F158" s="97"/>
      <c r="G158" s="97"/>
      <c r="H158" s="97"/>
      <c r="I158" s="97"/>
      <c r="J158" s="97"/>
      <c r="K158" s="97"/>
      <c r="L158" s="97"/>
      <c r="M158" s="97"/>
      <c r="N158" s="97"/>
      <c r="O158" s="97"/>
      <c r="P158" s="97"/>
      <c r="Q158" s="97"/>
      <c r="R158" s="97"/>
      <c r="S158" s="97"/>
      <c r="T158" s="97"/>
      <c r="U158" s="97"/>
      <c r="V158" s="97"/>
      <c r="W158" s="97"/>
      <c r="X158" s="97"/>
      <c r="Y158" s="97"/>
      <c r="Z158" s="97"/>
    </row>
    <row r="159" spans="1:26" ht="15" hidden="1">
      <c r="A159" s="97"/>
      <c r="B159" s="97"/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7"/>
      <c r="V159" s="97"/>
      <c r="W159" s="97"/>
      <c r="X159" s="97"/>
      <c r="Y159" s="97"/>
      <c r="Z159" s="97"/>
    </row>
    <row r="160" spans="1:26" ht="15" hidden="1">
      <c r="A160" s="97"/>
      <c r="B160" s="97"/>
      <c r="C160" s="97"/>
      <c r="D160" s="97"/>
      <c r="E160" s="97"/>
      <c r="F160" s="97"/>
      <c r="G160" s="97"/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/>
      <c r="S160" s="97"/>
      <c r="T160" s="97"/>
      <c r="U160" s="97"/>
      <c r="V160" s="97"/>
      <c r="W160" s="97"/>
      <c r="X160" s="97"/>
      <c r="Y160" s="97"/>
      <c r="Z160" s="97"/>
    </row>
    <row r="161" spans="1:26" ht="15" hidden="1">
      <c r="A161" s="97"/>
      <c r="B161" s="97"/>
      <c r="C161" s="97"/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7"/>
      <c r="W161" s="97"/>
      <c r="X161" s="97"/>
      <c r="Y161" s="97"/>
      <c r="Z161" s="97"/>
    </row>
    <row r="162" spans="1:26" ht="15" hidden="1">
      <c r="A162" s="97"/>
      <c r="B162" s="97"/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97"/>
      <c r="V162" s="97"/>
      <c r="W162" s="97"/>
      <c r="X162" s="97"/>
      <c r="Y162" s="97"/>
      <c r="Z162" s="97"/>
    </row>
    <row r="163" spans="1:26" ht="15" hidden="1">
      <c r="A163" s="97"/>
      <c r="B163" s="97"/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/>
      <c r="S163" s="97"/>
      <c r="T163" s="97"/>
      <c r="U163" s="97"/>
      <c r="V163" s="97"/>
      <c r="W163" s="97"/>
      <c r="X163" s="97"/>
      <c r="Y163" s="97"/>
      <c r="Z163" s="97"/>
    </row>
    <row r="164" spans="1:26" ht="15" hidden="1">
      <c r="A164" s="97"/>
      <c r="B164" s="97"/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7"/>
      <c r="Z164" s="97"/>
    </row>
    <row r="165" spans="1:26" ht="15" hidden="1">
      <c r="A165" s="97"/>
      <c r="B165" s="97"/>
      <c r="C165" s="97"/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7"/>
      <c r="T165" s="97"/>
      <c r="U165" s="97"/>
      <c r="V165" s="97"/>
      <c r="W165" s="97"/>
      <c r="X165" s="97"/>
      <c r="Y165" s="97"/>
      <c r="Z165" s="97"/>
    </row>
    <row r="166" spans="1:26" ht="15" hidden="1">
      <c r="A166" s="97"/>
      <c r="B166" s="97"/>
      <c r="C166" s="97"/>
      <c r="D166" s="97"/>
      <c r="E166" s="97"/>
      <c r="F166" s="97"/>
      <c r="G166" s="97"/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7"/>
      <c r="V166" s="97"/>
      <c r="W166" s="97"/>
      <c r="X166" s="97"/>
      <c r="Y166" s="97"/>
      <c r="Z166" s="97"/>
    </row>
    <row r="167" spans="1:26" ht="15" hidden="1">
      <c r="A167" s="97"/>
      <c r="B167" s="97"/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/>
      <c r="S167" s="97"/>
      <c r="T167" s="97"/>
      <c r="U167" s="97"/>
      <c r="V167" s="97"/>
      <c r="W167" s="97"/>
      <c r="X167" s="97"/>
      <c r="Y167" s="97"/>
      <c r="Z167" s="97"/>
    </row>
    <row r="168" spans="1:26" ht="15" hidden="1">
      <c r="A168" s="97"/>
      <c r="B168" s="97"/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/>
      <c r="S168" s="97"/>
      <c r="T168" s="97"/>
      <c r="U168" s="97"/>
      <c r="V168" s="97"/>
      <c r="W168" s="97"/>
      <c r="X168" s="97"/>
      <c r="Y168" s="97"/>
      <c r="Z168" s="97"/>
    </row>
    <row r="169" spans="1:26" ht="15" hidden="1">
      <c r="A169" s="97"/>
      <c r="B169" s="97"/>
      <c r="C169" s="97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7"/>
      <c r="W169" s="97"/>
      <c r="X169" s="97"/>
      <c r="Y169" s="97"/>
      <c r="Z169" s="97"/>
    </row>
    <row r="170" spans="1:26" ht="15" hidden="1">
      <c r="A170" s="97"/>
      <c r="B170" s="97"/>
      <c r="C170" s="97"/>
      <c r="D170" s="97"/>
      <c r="E170" s="97"/>
      <c r="F170" s="97"/>
      <c r="G170" s="97"/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/>
      <c r="S170" s="97"/>
      <c r="T170" s="97"/>
      <c r="U170" s="97"/>
      <c r="V170" s="97"/>
      <c r="W170" s="97"/>
      <c r="X170" s="97"/>
      <c r="Y170" s="97"/>
      <c r="Z170" s="97"/>
    </row>
    <row r="171" spans="1:26" ht="15" hidden="1">
      <c r="A171" s="97"/>
      <c r="B171" s="97"/>
      <c r="C171" s="97"/>
      <c r="D171" s="97"/>
      <c r="E171" s="97"/>
      <c r="F171" s="97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7"/>
      <c r="Z171" s="97"/>
    </row>
    <row r="172" spans="1:26" ht="15" hidden="1">
      <c r="A172" s="97"/>
      <c r="B172" s="97"/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/>
      <c r="S172" s="97"/>
      <c r="T172" s="97"/>
      <c r="U172" s="97"/>
      <c r="V172" s="97"/>
      <c r="W172" s="97"/>
      <c r="X172" s="97"/>
      <c r="Y172" s="97"/>
      <c r="Z172" s="97"/>
    </row>
    <row r="173" spans="1:26" ht="15" hidden="1">
      <c r="A173" s="97"/>
      <c r="B173" s="97"/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7"/>
      <c r="V173" s="97"/>
      <c r="W173" s="97"/>
      <c r="X173" s="97"/>
      <c r="Y173" s="97"/>
      <c r="Z173" s="97"/>
    </row>
    <row r="174" spans="1:26" ht="15" hidden="1">
      <c r="A174" s="97"/>
      <c r="B174" s="97"/>
      <c r="C174" s="97"/>
      <c r="D174" s="97"/>
      <c r="E174" s="97"/>
      <c r="F174" s="97"/>
      <c r="G174" s="97"/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/>
      <c r="S174" s="97"/>
      <c r="T174" s="97"/>
      <c r="U174" s="97"/>
      <c r="V174" s="97"/>
      <c r="W174" s="97"/>
      <c r="X174" s="97"/>
      <c r="Y174" s="97"/>
      <c r="Z174" s="97"/>
    </row>
    <row r="175" spans="1:26" ht="15" hidden="1">
      <c r="A175" s="97"/>
      <c r="B175" s="97"/>
      <c r="C175" s="97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97"/>
      <c r="V175" s="97"/>
      <c r="W175" s="97"/>
      <c r="X175" s="97"/>
      <c r="Y175" s="97"/>
      <c r="Z175" s="97"/>
    </row>
    <row r="176" spans="1:26" ht="15" hidden="1">
      <c r="A176" s="97"/>
      <c r="B176" s="97"/>
      <c r="C176" s="97"/>
      <c r="D176" s="97"/>
      <c r="E176" s="97"/>
      <c r="F176" s="97"/>
      <c r="G176" s="97"/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/>
      <c r="S176" s="97"/>
      <c r="T176" s="97"/>
      <c r="U176" s="97"/>
      <c r="V176" s="97"/>
      <c r="W176" s="97"/>
      <c r="X176" s="97"/>
      <c r="Y176" s="97"/>
      <c r="Z176" s="97"/>
    </row>
    <row r="177" spans="1:26" ht="15" hidden="1">
      <c r="A177" s="97"/>
      <c r="B177" s="97"/>
      <c r="C177" s="97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7"/>
      <c r="W177" s="97"/>
      <c r="X177" s="97"/>
      <c r="Y177" s="97"/>
      <c r="Z177" s="97"/>
    </row>
    <row r="178" spans="1:26" ht="15" hidden="1">
      <c r="A178" s="97"/>
      <c r="B178" s="97"/>
      <c r="C178" s="97"/>
      <c r="D178" s="97"/>
      <c r="E178" s="97"/>
      <c r="F178" s="97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7"/>
      <c r="Z178" s="97"/>
    </row>
    <row r="179" spans="1:26" ht="15" hidden="1">
      <c r="A179" s="97"/>
      <c r="B179" s="97"/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/>
      <c r="S179" s="97"/>
      <c r="T179" s="97"/>
      <c r="U179" s="97"/>
      <c r="V179" s="97"/>
      <c r="W179" s="97"/>
      <c r="X179" s="97"/>
      <c r="Y179" s="97"/>
      <c r="Z179" s="97"/>
    </row>
    <row r="180" spans="1:26" ht="15" hidden="1">
      <c r="A180" s="97"/>
      <c r="B180" s="97"/>
      <c r="C180" s="97"/>
      <c r="D180" s="97"/>
      <c r="E180" s="97"/>
      <c r="F180" s="97"/>
      <c r="G180" s="97"/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7"/>
      <c r="V180" s="97"/>
      <c r="W180" s="97"/>
      <c r="X180" s="97"/>
      <c r="Y180" s="97"/>
      <c r="Z180" s="97"/>
    </row>
    <row r="181" spans="1:26" ht="15" hidden="1">
      <c r="A181" s="97"/>
      <c r="B181" s="97"/>
      <c r="C181" s="97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97"/>
      <c r="V181" s="97"/>
      <c r="W181" s="97"/>
      <c r="X181" s="97"/>
      <c r="Y181" s="97"/>
      <c r="Z181" s="97"/>
    </row>
    <row r="182" spans="1:26" ht="15" hidden="1">
      <c r="A182" s="97"/>
      <c r="B182" s="97"/>
      <c r="C182" s="97"/>
      <c r="D182" s="97"/>
      <c r="E182" s="97"/>
      <c r="F182" s="97"/>
      <c r="G182" s="97"/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/>
      <c r="S182" s="97"/>
      <c r="T182" s="97"/>
      <c r="U182" s="97"/>
      <c r="V182" s="97"/>
      <c r="W182" s="97"/>
      <c r="X182" s="97"/>
      <c r="Y182" s="97"/>
      <c r="Z182" s="97"/>
    </row>
    <row r="183" spans="1:26" ht="15" hidden="1">
      <c r="A183" s="97"/>
      <c r="B183" s="97"/>
      <c r="C183" s="97"/>
      <c r="D183" s="97"/>
      <c r="E183" s="97"/>
      <c r="F183" s="97"/>
      <c r="G183" s="97"/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/>
      <c r="S183" s="97"/>
      <c r="T183" s="97"/>
      <c r="U183" s="97"/>
      <c r="V183" s="97"/>
      <c r="W183" s="97"/>
      <c r="X183" s="97"/>
      <c r="Y183" s="97"/>
      <c r="Z183" s="97"/>
    </row>
    <row r="184" spans="1:26" ht="15" hidden="1">
      <c r="A184" s="97"/>
      <c r="B184" s="97"/>
      <c r="C184" s="97"/>
      <c r="D184" s="97"/>
      <c r="E184" s="97"/>
      <c r="F184" s="97"/>
      <c r="G184" s="97"/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/>
      <c r="S184" s="97"/>
      <c r="T184" s="97"/>
      <c r="U184" s="97"/>
      <c r="V184" s="97"/>
      <c r="W184" s="97"/>
      <c r="X184" s="97"/>
      <c r="Y184" s="97"/>
      <c r="Z184" s="97"/>
    </row>
    <row r="185" spans="1:26" ht="15" hidden="1">
      <c r="A185" s="97"/>
      <c r="B185" s="97"/>
      <c r="C185" s="97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7"/>
      <c r="Z185" s="97"/>
    </row>
    <row r="186" spans="1:26" ht="15" hidden="1">
      <c r="A186" s="97"/>
      <c r="B186" s="97"/>
      <c r="C186" s="97"/>
      <c r="D186" s="97"/>
      <c r="E186" s="97"/>
      <c r="F186" s="97"/>
      <c r="G186" s="97"/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/>
      <c r="S186" s="97"/>
      <c r="T186" s="97"/>
      <c r="U186" s="97"/>
      <c r="V186" s="97"/>
      <c r="W186" s="97"/>
      <c r="X186" s="97"/>
      <c r="Y186" s="97"/>
      <c r="Z186" s="97"/>
    </row>
    <row r="187" spans="1:26" ht="15" hidden="1">
      <c r="A187" s="97"/>
      <c r="B187" s="97"/>
      <c r="C187" s="97"/>
      <c r="D187" s="97"/>
      <c r="E187" s="97"/>
      <c r="F187" s="97"/>
      <c r="G187" s="97"/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7"/>
      <c r="V187" s="97"/>
      <c r="W187" s="97"/>
      <c r="X187" s="97"/>
      <c r="Y187" s="97"/>
      <c r="Z187" s="97"/>
    </row>
    <row r="188" spans="1:26" ht="15" hidden="1">
      <c r="A188" s="97"/>
      <c r="B188" s="97"/>
      <c r="C188" s="97"/>
      <c r="D188" s="97"/>
      <c r="E188" s="97"/>
      <c r="F188" s="97"/>
      <c r="G188" s="97"/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/>
      <c r="S188" s="97"/>
      <c r="T188" s="97"/>
      <c r="U188" s="97"/>
      <c r="V188" s="97"/>
      <c r="W188" s="97"/>
      <c r="X188" s="97"/>
      <c r="Y188" s="97"/>
      <c r="Z188" s="97"/>
    </row>
    <row r="189" spans="1:26" ht="15" hidden="1">
      <c r="A189" s="97"/>
      <c r="B189" s="97"/>
      <c r="C189" s="97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  <c r="S189" s="97"/>
      <c r="T189" s="97"/>
      <c r="U189" s="97"/>
      <c r="V189" s="97"/>
      <c r="W189" s="97"/>
      <c r="X189" s="97"/>
      <c r="Y189" s="97"/>
      <c r="Z189" s="97"/>
    </row>
    <row r="190" spans="1:26" ht="15" hidden="1">
      <c r="A190" s="97"/>
      <c r="B190" s="97"/>
      <c r="C190" s="97"/>
      <c r="D190" s="97"/>
      <c r="E190" s="97"/>
      <c r="F190" s="97"/>
      <c r="G190" s="97"/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/>
      <c r="S190" s="97"/>
      <c r="T190" s="97"/>
      <c r="U190" s="97"/>
      <c r="V190" s="97"/>
      <c r="W190" s="97"/>
      <c r="X190" s="97"/>
      <c r="Y190" s="97"/>
      <c r="Z190" s="97"/>
    </row>
    <row r="191" spans="1:26" ht="15" hidden="1">
      <c r="A191" s="97"/>
      <c r="B191" s="97"/>
      <c r="C191" s="97"/>
      <c r="D191" s="97"/>
      <c r="E191" s="97"/>
      <c r="F191" s="97"/>
      <c r="G191" s="97"/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/>
      <c r="S191" s="97"/>
      <c r="T191" s="97"/>
      <c r="U191" s="97"/>
      <c r="V191" s="97"/>
      <c r="W191" s="97"/>
      <c r="X191" s="97"/>
      <c r="Y191" s="97"/>
      <c r="Z191" s="97"/>
    </row>
    <row r="192" spans="1:26" ht="15" hidden="1">
      <c r="A192" s="97"/>
      <c r="B192" s="97"/>
      <c r="C192" s="97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7"/>
      <c r="Z192" s="97"/>
    </row>
    <row r="193" spans="1:26" ht="15" hidden="1">
      <c r="A193" s="97"/>
      <c r="B193" s="97"/>
      <c r="C193" s="97"/>
      <c r="D193" s="97"/>
      <c r="E193" s="97"/>
      <c r="F193" s="97"/>
      <c r="G193" s="97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7"/>
      <c r="W193" s="97"/>
      <c r="X193" s="97"/>
      <c r="Y193" s="97"/>
      <c r="Z193" s="97"/>
    </row>
    <row r="194" spans="1:26" ht="15" hidden="1">
      <c r="A194" s="97"/>
      <c r="B194" s="97"/>
      <c r="C194" s="97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97"/>
      <c r="V194" s="97"/>
      <c r="W194" s="97"/>
      <c r="X194" s="97"/>
      <c r="Y194" s="97"/>
      <c r="Z194" s="97"/>
    </row>
    <row r="195" spans="1:26" ht="15" hidden="1">
      <c r="A195" s="97"/>
      <c r="B195" s="97"/>
      <c r="C195" s="97"/>
      <c r="D195" s="97"/>
      <c r="E195" s="97"/>
      <c r="F195" s="97"/>
      <c r="G195" s="97"/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/>
      <c r="S195" s="97"/>
      <c r="T195" s="97"/>
      <c r="U195" s="97"/>
      <c r="V195" s="97"/>
      <c r="W195" s="97"/>
      <c r="X195" s="97"/>
      <c r="Y195" s="97"/>
      <c r="Z195" s="97"/>
    </row>
    <row r="196" spans="1:26" ht="15" hidden="1">
      <c r="A196" s="97"/>
      <c r="B196" s="97"/>
      <c r="C196" s="97"/>
      <c r="D196" s="97"/>
      <c r="E196" s="97"/>
      <c r="F196" s="97"/>
      <c r="G196" s="97"/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/>
      <c r="S196" s="97"/>
      <c r="T196" s="97"/>
      <c r="U196" s="97"/>
      <c r="V196" s="97"/>
      <c r="W196" s="97"/>
      <c r="X196" s="97"/>
      <c r="Y196" s="97"/>
      <c r="Z196" s="97"/>
    </row>
    <row r="197" spans="1:26" ht="15" hidden="1">
      <c r="A197" s="97"/>
      <c r="B197" s="97"/>
      <c r="C197" s="97"/>
      <c r="D197" s="97"/>
      <c r="E197" s="97"/>
      <c r="F197" s="97"/>
      <c r="G197" s="97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  <c r="S197" s="97"/>
      <c r="T197" s="97"/>
      <c r="U197" s="97"/>
      <c r="V197" s="97"/>
      <c r="W197" s="97"/>
      <c r="X197" s="97"/>
      <c r="Y197" s="97"/>
      <c r="Z197" s="97"/>
    </row>
    <row r="198" spans="1:26" ht="15" hidden="1">
      <c r="A198" s="97"/>
      <c r="B198" s="97"/>
      <c r="C198" s="97"/>
      <c r="D198" s="97"/>
      <c r="E198" s="97"/>
      <c r="F198" s="97"/>
      <c r="G198" s="97"/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/>
      <c r="S198" s="97"/>
      <c r="T198" s="97"/>
      <c r="U198" s="97"/>
      <c r="V198" s="97"/>
      <c r="W198" s="97"/>
      <c r="X198" s="97"/>
      <c r="Y198" s="97"/>
      <c r="Z198" s="97"/>
    </row>
    <row r="199" spans="1:26" ht="15" hidden="1">
      <c r="A199" s="97"/>
      <c r="B199" s="97"/>
      <c r="C199" s="97"/>
      <c r="D199" s="97"/>
      <c r="E199" s="97"/>
      <c r="F199" s="97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7"/>
      <c r="Z199" s="97"/>
    </row>
    <row r="200" spans="1:26" ht="15" hidden="1">
      <c r="A200" s="97"/>
      <c r="B200" s="97"/>
      <c r="C200" s="97"/>
      <c r="D200" s="97"/>
      <c r="E200" s="97"/>
      <c r="F200" s="97"/>
      <c r="G200" s="97"/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/>
      <c r="S200" s="97"/>
      <c r="T200" s="97"/>
      <c r="U200" s="97"/>
      <c r="V200" s="97"/>
      <c r="W200" s="97"/>
      <c r="X200" s="97"/>
      <c r="Y200" s="97"/>
      <c r="Z200" s="97"/>
    </row>
    <row r="201" spans="1:26" ht="15" hidden="1">
      <c r="A201" s="97"/>
      <c r="B201" s="97"/>
      <c r="C201" s="97"/>
      <c r="D201" s="97"/>
      <c r="E201" s="9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7"/>
      <c r="W201" s="97"/>
      <c r="X201" s="97"/>
      <c r="Y201" s="97"/>
      <c r="Z201" s="97"/>
    </row>
    <row r="202" spans="1:26" ht="15" hidden="1">
      <c r="A202" s="97"/>
      <c r="B202" s="97"/>
      <c r="C202" s="97"/>
      <c r="D202" s="97"/>
      <c r="E202" s="97"/>
      <c r="F202" s="97"/>
      <c r="G202" s="97"/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/>
      <c r="S202" s="97"/>
      <c r="T202" s="97"/>
      <c r="U202" s="97"/>
      <c r="V202" s="97"/>
      <c r="W202" s="97"/>
      <c r="X202" s="97"/>
      <c r="Y202" s="97"/>
      <c r="Z202" s="97"/>
    </row>
    <row r="203" spans="1:26" ht="15" hidden="1">
      <c r="A203" s="97"/>
      <c r="B203" s="97"/>
      <c r="C203" s="97"/>
      <c r="D203" s="97"/>
      <c r="E203" s="97"/>
      <c r="F203" s="97"/>
      <c r="G203" s="97"/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/>
      <c r="S203" s="97"/>
      <c r="T203" s="97"/>
      <c r="U203" s="97"/>
      <c r="V203" s="97"/>
      <c r="W203" s="97"/>
      <c r="X203" s="97"/>
      <c r="Y203" s="97"/>
      <c r="Z203" s="97"/>
    </row>
    <row r="204" spans="1:26" ht="15" hidden="1">
      <c r="A204" s="97"/>
      <c r="B204" s="97"/>
      <c r="C204" s="97"/>
      <c r="D204" s="97"/>
      <c r="E204" s="97"/>
      <c r="F204" s="97"/>
      <c r="G204" s="97"/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/>
      <c r="S204" s="97"/>
      <c r="T204" s="97"/>
      <c r="U204" s="97"/>
      <c r="V204" s="97"/>
      <c r="W204" s="97"/>
      <c r="X204" s="97"/>
      <c r="Y204" s="97"/>
      <c r="Z204" s="97"/>
    </row>
    <row r="205" spans="1:26" ht="15" hidden="1">
      <c r="A205" s="97"/>
      <c r="B205" s="97"/>
      <c r="C205" s="97"/>
      <c r="D205" s="97"/>
      <c r="E205" s="97"/>
      <c r="F205" s="97"/>
      <c r="G205" s="97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  <c r="S205" s="97"/>
      <c r="T205" s="97"/>
      <c r="U205" s="97"/>
      <c r="V205" s="97"/>
      <c r="W205" s="97"/>
      <c r="X205" s="97"/>
      <c r="Y205" s="97"/>
      <c r="Z205" s="97"/>
    </row>
    <row r="206" spans="1:26" ht="15" hidden="1">
      <c r="A206" s="97"/>
      <c r="B206" s="97"/>
      <c r="C206" s="97"/>
      <c r="D206" s="97"/>
      <c r="E206" s="97"/>
      <c r="F206" s="97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7"/>
      <c r="Z206" s="97"/>
    </row>
    <row r="207" spans="1:26" ht="15" hidden="1">
      <c r="A207" s="97"/>
      <c r="B207" s="97"/>
      <c r="C207" s="97"/>
      <c r="D207" s="97"/>
      <c r="E207" s="97"/>
      <c r="F207" s="97"/>
      <c r="G207" s="97"/>
      <c r="H207" s="97"/>
      <c r="I207" s="97"/>
      <c r="J207" s="97"/>
      <c r="K207" s="97"/>
      <c r="L207" s="97"/>
      <c r="M207" s="97"/>
      <c r="N207" s="97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97"/>
      <c r="Z207" s="97"/>
    </row>
    <row r="208" spans="1:26" ht="15" hidden="1">
      <c r="A208" s="97"/>
      <c r="B208" s="97"/>
      <c r="C208" s="97"/>
      <c r="D208" s="97"/>
      <c r="E208" s="97"/>
      <c r="F208" s="97"/>
      <c r="G208" s="97"/>
      <c r="H208" s="97"/>
      <c r="I208" s="97"/>
      <c r="J208" s="97"/>
      <c r="K208" s="97"/>
      <c r="L208" s="97"/>
      <c r="M208" s="97"/>
      <c r="N208" s="97"/>
      <c r="O208" s="97"/>
      <c r="P208" s="97"/>
      <c r="Q208" s="97"/>
      <c r="R208" s="97"/>
      <c r="S208" s="97"/>
      <c r="T208" s="97"/>
      <c r="U208" s="97"/>
      <c r="V208" s="97"/>
      <c r="W208" s="97"/>
      <c r="X208" s="97"/>
      <c r="Y208" s="97"/>
      <c r="Z208" s="97"/>
    </row>
    <row r="209" spans="1:26" ht="15" hidden="1">
      <c r="A209" s="97"/>
      <c r="B209" s="97"/>
      <c r="C209" s="97"/>
      <c r="D209" s="97"/>
      <c r="E209" s="97"/>
      <c r="F209" s="97"/>
      <c r="G209" s="97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7"/>
      <c r="W209" s="97"/>
      <c r="X209" s="97"/>
      <c r="Y209" s="97"/>
      <c r="Z209" s="97"/>
    </row>
    <row r="210" spans="1:26" ht="15" hidden="1">
      <c r="A210" s="97"/>
      <c r="B210" s="97"/>
      <c r="C210" s="97"/>
      <c r="D210" s="97"/>
      <c r="E210" s="97"/>
      <c r="F210" s="97"/>
      <c r="G210" s="97"/>
      <c r="H210" s="97"/>
      <c r="I210" s="97"/>
      <c r="J210" s="97"/>
      <c r="K210" s="97"/>
      <c r="L210" s="97"/>
      <c r="M210" s="97"/>
      <c r="N210" s="97"/>
      <c r="O210" s="97"/>
      <c r="P210" s="97"/>
      <c r="Q210" s="97"/>
      <c r="R210" s="97"/>
      <c r="S210" s="97"/>
      <c r="T210" s="97"/>
      <c r="U210" s="97"/>
      <c r="V210" s="97"/>
      <c r="W210" s="97"/>
      <c r="X210" s="97"/>
      <c r="Y210" s="97"/>
      <c r="Z210" s="97"/>
    </row>
    <row r="211" spans="1:26" ht="15" hidden="1">
      <c r="A211" s="97"/>
      <c r="B211" s="97"/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/>
      <c r="R211" s="97"/>
      <c r="S211" s="97"/>
      <c r="T211" s="97"/>
      <c r="U211" s="97"/>
      <c r="V211" s="97"/>
      <c r="W211" s="97"/>
      <c r="X211" s="97"/>
      <c r="Y211" s="97"/>
      <c r="Z211" s="97"/>
    </row>
    <row r="212" spans="1:26" ht="15" hidden="1">
      <c r="A212" s="97"/>
      <c r="B212" s="97"/>
      <c r="C212" s="97"/>
      <c r="D212" s="97"/>
      <c r="E212" s="97"/>
      <c r="F212" s="97"/>
      <c r="G212" s="97"/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/>
      <c r="S212" s="97"/>
      <c r="T212" s="97"/>
      <c r="U212" s="97"/>
      <c r="V212" s="97"/>
      <c r="W212" s="97"/>
      <c r="X212" s="97"/>
      <c r="Y212" s="97"/>
      <c r="Z212" s="97"/>
    </row>
    <row r="213" spans="1:26" ht="15" hidden="1">
      <c r="A213" s="97"/>
      <c r="B213" s="97"/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7"/>
      <c r="Z213" s="97"/>
    </row>
    <row r="214" spans="1:26" ht="15" hidden="1">
      <c r="A214" s="97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/>
      <c r="S214" s="97"/>
      <c r="T214" s="97"/>
      <c r="U214" s="97"/>
      <c r="V214" s="97"/>
      <c r="W214" s="97"/>
      <c r="X214" s="97"/>
      <c r="Y214" s="97"/>
      <c r="Z214" s="97"/>
    </row>
    <row r="215" spans="1:26" ht="15" hidden="1">
      <c r="A215" s="97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/>
      <c r="S215" s="97"/>
      <c r="T215" s="97"/>
      <c r="U215" s="97"/>
      <c r="V215" s="97"/>
      <c r="W215" s="97"/>
      <c r="X215" s="97"/>
      <c r="Y215" s="97"/>
      <c r="Z215" s="97"/>
    </row>
    <row r="216" spans="1:26" ht="15" hidden="1">
      <c r="A216" s="97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/>
      <c r="S216" s="97"/>
      <c r="T216" s="97"/>
      <c r="U216" s="97"/>
      <c r="V216" s="97"/>
      <c r="W216" s="97"/>
      <c r="X216" s="97"/>
      <c r="Y216" s="97"/>
      <c r="Z216" s="97"/>
    </row>
    <row r="217" spans="1:26" ht="15" hidden="1">
      <c r="A217" s="97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7"/>
      <c r="W217" s="97"/>
      <c r="X217" s="97"/>
      <c r="Y217" s="97"/>
      <c r="Z217" s="97"/>
    </row>
    <row r="218" spans="1:26" ht="15" hidden="1">
      <c r="A218" s="97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/>
      <c r="S218" s="97"/>
      <c r="T218" s="97"/>
      <c r="U218" s="97"/>
      <c r="V218" s="97"/>
      <c r="W218" s="97"/>
      <c r="X218" s="97"/>
      <c r="Y218" s="97"/>
      <c r="Z218" s="97"/>
    </row>
    <row r="219" spans="1:26" ht="15" hidden="1">
      <c r="A219" s="97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/>
      <c r="S219" s="97"/>
      <c r="T219" s="97"/>
      <c r="U219" s="97"/>
      <c r="V219" s="97"/>
      <c r="W219" s="97"/>
      <c r="X219" s="97"/>
      <c r="Y219" s="97"/>
      <c r="Z219" s="97"/>
    </row>
    <row r="220" spans="1:26" ht="15" hidden="1">
      <c r="A220" s="97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7"/>
      <c r="Z220" s="97"/>
    </row>
    <row r="221" spans="1:26" ht="15" hidden="1">
      <c r="A221" s="97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  <c r="S221" s="97"/>
      <c r="T221" s="97"/>
      <c r="U221" s="97"/>
      <c r="V221" s="97"/>
      <c r="W221" s="97"/>
      <c r="X221" s="97"/>
      <c r="Y221" s="97"/>
      <c r="Z221" s="97"/>
    </row>
    <row r="222" spans="1:26" ht="15" hidden="1">
      <c r="A222" s="97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/>
      <c r="S222" s="97"/>
      <c r="T222" s="97"/>
      <c r="U222" s="97"/>
      <c r="V222" s="97"/>
      <c r="W222" s="97"/>
      <c r="X222" s="97"/>
      <c r="Y222" s="97"/>
      <c r="Z222" s="97"/>
    </row>
    <row r="223" spans="1:26" ht="15" hidden="1">
      <c r="A223" s="97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</row>
    <row r="224" spans="1:26" ht="15" hidden="1">
      <c r="A224" s="97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/>
      <c r="S224" s="97"/>
      <c r="T224" s="97"/>
      <c r="U224" s="97"/>
      <c r="V224" s="97"/>
      <c r="W224" s="97"/>
      <c r="X224" s="97"/>
      <c r="Y224" s="97"/>
      <c r="Z224" s="97"/>
    </row>
    <row r="225" spans="1:26" ht="15" hidden="1">
      <c r="A225" s="97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7"/>
      <c r="W225" s="97"/>
      <c r="X225" s="97"/>
      <c r="Y225" s="97"/>
      <c r="Z225" s="97"/>
    </row>
    <row r="226" spans="1:26" ht="15" hidden="1">
      <c r="A226" s="97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/>
      <c r="S226" s="97"/>
      <c r="T226" s="97"/>
      <c r="U226" s="97"/>
      <c r="V226" s="97"/>
      <c r="W226" s="97"/>
      <c r="X226" s="97"/>
      <c r="Y226" s="97"/>
      <c r="Z226" s="97"/>
    </row>
    <row r="227" spans="1:26" ht="15" hidden="1">
      <c r="A227" s="97"/>
      <c r="B227" s="97"/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/>
      <c r="S227" s="97"/>
      <c r="T227" s="97"/>
      <c r="U227" s="97"/>
      <c r="V227" s="97"/>
      <c r="W227" s="97"/>
      <c r="X227" s="97"/>
      <c r="Y227" s="97"/>
      <c r="Z227" s="97"/>
    </row>
    <row r="228" spans="1:26" ht="15" hidden="1">
      <c r="A228" s="97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/>
      <c r="S228" s="97"/>
      <c r="T228" s="97"/>
      <c r="U228" s="97"/>
      <c r="V228" s="97"/>
      <c r="W228" s="97"/>
      <c r="X228" s="97"/>
      <c r="Y228" s="97"/>
      <c r="Z228" s="97"/>
    </row>
    <row r="229" spans="1:26" ht="15" hidden="1">
      <c r="A229" s="97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  <c r="S229" s="97"/>
      <c r="T229" s="97"/>
      <c r="U229" s="97"/>
      <c r="V229" s="97"/>
      <c r="W229" s="97"/>
      <c r="X229" s="97"/>
      <c r="Y229" s="97"/>
      <c r="Z229" s="97"/>
    </row>
    <row r="230" spans="1:26" ht="15" hidden="1">
      <c r="A230" s="97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/>
      <c r="S230" s="97"/>
      <c r="T230" s="97"/>
      <c r="U230" s="97"/>
      <c r="V230" s="97"/>
      <c r="W230" s="97"/>
      <c r="X230" s="97"/>
      <c r="Y230" s="97"/>
      <c r="Z230" s="97"/>
    </row>
    <row r="231" spans="1:26" ht="15" hidden="1">
      <c r="A231" s="97"/>
      <c r="B231" s="97"/>
      <c r="C231" s="97"/>
      <c r="D231" s="97"/>
      <c r="E231" s="97"/>
      <c r="F231" s="97"/>
      <c r="G231" s="97"/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/>
      <c r="S231" s="97"/>
      <c r="T231" s="97"/>
      <c r="U231" s="97"/>
      <c r="V231" s="97"/>
      <c r="W231" s="97"/>
      <c r="X231" s="97"/>
      <c r="Y231" s="97"/>
      <c r="Z231" s="97"/>
    </row>
    <row r="232" spans="1:26" ht="15" hidden="1">
      <c r="A232" s="97"/>
      <c r="B232" s="97"/>
      <c r="C232" s="97"/>
      <c r="D232" s="97"/>
      <c r="E232" s="97"/>
      <c r="F232" s="97"/>
      <c r="G232" s="97"/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/>
      <c r="S232" s="97"/>
      <c r="T232" s="97"/>
      <c r="U232" s="97"/>
      <c r="V232" s="97"/>
      <c r="W232" s="97"/>
      <c r="X232" s="97"/>
      <c r="Y232" s="97"/>
      <c r="Z232" s="97"/>
    </row>
    <row r="233" spans="1:26" ht="15" hidden="1">
      <c r="A233" s="97"/>
      <c r="B233" s="97"/>
      <c r="C233" s="97"/>
      <c r="D233" s="97"/>
      <c r="E233" s="9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7"/>
      <c r="W233" s="97"/>
      <c r="X233" s="97"/>
      <c r="Y233" s="97"/>
      <c r="Z233" s="97"/>
    </row>
    <row r="234" spans="1:26" ht="15" hidden="1">
      <c r="A234" s="97"/>
      <c r="B234" s="97"/>
      <c r="C234" s="97"/>
      <c r="D234" s="97"/>
      <c r="E234" s="97"/>
      <c r="F234" s="97"/>
      <c r="G234" s="97"/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/>
      <c r="S234" s="97"/>
      <c r="T234" s="97"/>
      <c r="U234" s="97"/>
      <c r="V234" s="97"/>
      <c r="W234" s="97"/>
      <c r="X234" s="97"/>
      <c r="Y234" s="97"/>
      <c r="Z234" s="97"/>
    </row>
    <row r="235" spans="1:26" ht="15" hidden="1">
      <c r="A235" s="97"/>
      <c r="B235" s="97"/>
      <c r="C235" s="97"/>
      <c r="D235" s="97"/>
      <c r="E235" s="97"/>
      <c r="F235" s="97"/>
      <c r="G235" s="97"/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/>
      <c r="S235" s="97"/>
      <c r="T235" s="97"/>
      <c r="U235" s="97"/>
      <c r="V235" s="97"/>
      <c r="W235" s="97"/>
      <c r="X235" s="97"/>
      <c r="Y235" s="97"/>
      <c r="Z235" s="97"/>
    </row>
    <row r="236" spans="1:26" ht="15" hidden="1">
      <c r="A236" s="97"/>
      <c r="B236" s="97"/>
      <c r="C236" s="97"/>
      <c r="D236" s="97"/>
      <c r="E236" s="97"/>
      <c r="F236" s="97"/>
      <c r="G236" s="97"/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/>
      <c r="S236" s="97"/>
      <c r="T236" s="97"/>
      <c r="U236" s="97"/>
      <c r="V236" s="97"/>
      <c r="W236" s="97"/>
      <c r="X236" s="97"/>
      <c r="Y236" s="97"/>
      <c r="Z236" s="97"/>
    </row>
    <row r="237" spans="1:26" ht="15" hidden="1">
      <c r="A237" s="97"/>
      <c r="B237" s="97"/>
      <c r="C237" s="97"/>
      <c r="D237" s="97"/>
      <c r="E237" s="97"/>
      <c r="F237" s="97"/>
      <c r="G237" s="97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  <c r="S237" s="97"/>
      <c r="T237" s="97"/>
      <c r="U237" s="97"/>
      <c r="V237" s="97"/>
      <c r="W237" s="97"/>
      <c r="X237" s="97"/>
      <c r="Y237" s="97"/>
      <c r="Z237" s="97"/>
    </row>
    <row r="238" spans="1:26" ht="15" hidden="1">
      <c r="A238" s="97"/>
      <c r="B238" s="97"/>
      <c r="C238" s="97"/>
      <c r="D238" s="97"/>
      <c r="E238" s="97"/>
      <c r="F238" s="97"/>
      <c r="G238" s="97"/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/>
      <c r="S238" s="97"/>
      <c r="T238" s="97"/>
      <c r="U238" s="97"/>
      <c r="V238" s="97"/>
      <c r="W238" s="97"/>
      <c r="X238" s="97"/>
      <c r="Y238" s="97"/>
      <c r="Z238" s="97"/>
    </row>
    <row r="239" spans="1:26" ht="15" hidden="1">
      <c r="A239" s="97"/>
      <c r="B239" s="97"/>
      <c r="C239" s="97"/>
      <c r="D239" s="97"/>
      <c r="E239" s="97"/>
      <c r="F239" s="97"/>
      <c r="G239" s="97"/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/>
      <c r="S239" s="97"/>
      <c r="T239" s="97"/>
      <c r="U239" s="97"/>
      <c r="V239" s="97"/>
      <c r="W239" s="97"/>
      <c r="X239" s="97"/>
      <c r="Y239" s="97"/>
      <c r="Z239" s="97"/>
    </row>
    <row r="240" spans="1:26" ht="15" hidden="1">
      <c r="A240" s="97"/>
      <c r="B240" s="97"/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/>
      <c r="S240" s="97"/>
      <c r="T240" s="97"/>
      <c r="U240" s="97"/>
      <c r="V240" s="97"/>
      <c r="W240" s="97"/>
      <c r="X240" s="97"/>
      <c r="Y240" s="97"/>
      <c r="Z240" s="97"/>
    </row>
    <row r="241" spans="1:26" ht="15" hidden="1">
      <c r="A241" s="97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7"/>
      <c r="W241" s="97"/>
      <c r="X241" s="97"/>
      <c r="Y241" s="97"/>
      <c r="Z241" s="97"/>
    </row>
    <row r="242" spans="1:26" ht="15" hidden="1">
      <c r="A242" s="97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/>
      <c r="S242" s="97"/>
      <c r="T242" s="97"/>
      <c r="U242" s="97"/>
      <c r="V242" s="97"/>
      <c r="W242" s="97"/>
      <c r="X242" s="97"/>
      <c r="Y242" s="97"/>
      <c r="Z242" s="97"/>
    </row>
    <row r="243" spans="1:26" ht="15" hidden="1">
      <c r="A243" s="97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/>
      <c r="S243" s="97"/>
      <c r="T243" s="97"/>
      <c r="U243" s="97"/>
      <c r="V243" s="97"/>
      <c r="W243" s="97"/>
      <c r="X243" s="97"/>
      <c r="Y243" s="97"/>
      <c r="Z243" s="97"/>
    </row>
    <row r="244" spans="1:26" ht="15" hidden="1">
      <c r="A244" s="97"/>
      <c r="B244" s="97"/>
      <c r="C244" s="97"/>
      <c r="D244" s="97"/>
      <c r="E244" s="97"/>
      <c r="F244" s="97"/>
      <c r="G244" s="97"/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/>
      <c r="S244" s="97"/>
      <c r="T244" s="97"/>
      <c r="U244" s="97"/>
      <c r="V244" s="97"/>
      <c r="W244" s="97"/>
      <c r="X244" s="97"/>
      <c r="Y244" s="97"/>
      <c r="Z244" s="97"/>
    </row>
    <row r="245" spans="1:26" ht="15" hidden="1">
      <c r="A245" s="97"/>
      <c r="B245" s="97"/>
      <c r="C245" s="97"/>
      <c r="D245" s="97"/>
      <c r="E245" s="97"/>
      <c r="F245" s="97"/>
      <c r="G245" s="97"/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/>
      <c r="S245" s="97"/>
      <c r="T245" s="97"/>
      <c r="U245" s="97"/>
      <c r="V245" s="97"/>
      <c r="W245" s="97"/>
      <c r="X245" s="97"/>
      <c r="Y245" s="97"/>
      <c r="Z245" s="97"/>
    </row>
    <row r="246" spans="1:26" ht="15" hidden="1">
      <c r="A246" s="97"/>
      <c r="B246" s="97"/>
      <c r="C246" s="97"/>
      <c r="D246" s="97"/>
      <c r="E246" s="97"/>
      <c r="F246" s="97"/>
      <c r="G246" s="97"/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/>
      <c r="S246" s="97"/>
      <c r="T246" s="97"/>
      <c r="U246" s="97"/>
      <c r="V246" s="97"/>
      <c r="W246" s="97"/>
      <c r="X246" s="97"/>
      <c r="Y246" s="97"/>
      <c r="Z246" s="97"/>
    </row>
    <row r="247" spans="1:26" ht="15" hidden="1">
      <c r="A247" s="97"/>
      <c r="B247" s="97"/>
      <c r="C247" s="97"/>
      <c r="D247" s="97"/>
      <c r="E247" s="97"/>
      <c r="F247" s="97"/>
      <c r="G247" s="97"/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/>
      <c r="S247" s="97"/>
      <c r="T247" s="97"/>
      <c r="U247" s="97"/>
      <c r="V247" s="97"/>
      <c r="W247" s="97"/>
      <c r="X247" s="97"/>
      <c r="Y247" s="97"/>
      <c r="Z247" s="97"/>
    </row>
    <row r="248" spans="1:26" ht="15" hidden="1">
      <c r="A248" s="97"/>
      <c r="B248" s="97"/>
      <c r="C248" s="97"/>
      <c r="D248" s="97"/>
      <c r="E248" s="97"/>
      <c r="F248" s="97"/>
      <c r="G248" s="97"/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/>
      <c r="S248" s="97"/>
      <c r="T248" s="97"/>
      <c r="U248" s="97"/>
      <c r="V248" s="97"/>
      <c r="W248" s="97"/>
      <c r="X248" s="97"/>
      <c r="Y248" s="97"/>
      <c r="Z248" s="97"/>
    </row>
    <row r="249" spans="1:26" ht="15" hidden="1">
      <c r="A249" s="97"/>
      <c r="B249" s="97"/>
      <c r="C249" s="97"/>
      <c r="D249" s="97"/>
      <c r="E249" s="97"/>
      <c r="F249" s="97"/>
      <c r="G249" s="97"/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7"/>
      <c r="W249" s="97"/>
      <c r="X249" s="97"/>
      <c r="Y249" s="97"/>
      <c r="Z249" s="97"/>
    </row>
    <row r="250" spans="1:26" ht="15" hidden="1">
      <c r="A250" s="97"/>
      <c r="B250" s="97"/>
      <c r="C250" s="97"/>
      <c r="D250" s="97"/>
      <c r="E250" s="97"/>
      <c r="F250" s="97"/>
      <c r="G250" s="97"/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/>
      <c r="S250" s="97"/>
      <c r="T250" s="97"/>
      <c r="U250" s="97"/>
      <c r="V250" s="97"/>
      <c r="W250" s="97"/>
      <c r="X250" s="97"/>
      <c r="Y250" s="97"/>
      <c r="Z250" s="97"/>
    </row>
    <row r="251" spans="1:26" ht="15" hidden="1">
      <c r="A251" s="97"/>
      <c r="B251" s="97"/>
      <c r="C251" s="97"/>
      <c r="D251" s="97"/>
      <c r="E251" s="97"/>
      <c r="F251" s="97"/>
      <c r="G251" s="97"/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/>
      <c r="S251" s="97"/>
      <c r="T251" s="97"/>
      <c r="U251" s="97"/>
      <c r="V251" s="97"/>
      <c r="W251" s="97"/>
      <c r="X251" s="97"/>
      <c r="Y251" s="97"/>
      <c r="Z251" s="97"/>
    </row>
    <row r="252" spans="1:26" ht="15" hidden="1">
      <c r="A252" s="97"/>
      <c r="B252" s="97"/>
      <c r="C252" s="97"/>
      <c r="D252" s="97"/>
      <c r="E252" s="9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/>
      <c r="S252" s="97"/>
      <c r="T252" s="97"/>
      <c r="U252" s="97"/>
      <c r="V252" s="97"/>
      <c r="W252" s="97"/>
      <c r="X252" s="97"/>
      <c r="Y252" s="97"/>
      <c r="Z252" s="97"/>
    </row>
    <row r="253" spans="1:26" ht="15" hidden="1">
      <c r="A253" s="97"/>
      <c r="B253" s="97"/>
      <c r="C253" s="97"/>
      <c r="D253" s="97"/>
      <c r="E253" s="97"/>
      <c r="F253" s="97"/>
      <c r="G253" s="97"/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/>
      <c r="S253" s="97"/>
      <c r="T253" s="97"/>
      <c r="U253" s="97"/>
      <c r="V253" s="97"/>
      <c r="W253" s="97"/>
      <c r="X253" s="97"/>
      <c r="Y253" s="97"/>
      <c r="Z253" s="97"/>
    </row>
    <row r="254" spans="1:26" ht="15" hidden="1">
      <c r="A254" s="97"/>
      <c r="B254" s="97"/>
      <c r="C254" s="97"/>
      <c r="D254" s="97"/>
      <c r="E254" s="97"/>
      <c r="F254" s="97"/>
      <c r="G254" s="97"/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/>
      <c r="S254" s="97"/>
      <c r="T254" s="97"/>
      <c r="U254" s="97"/>
      <c r="V254" s="97"/>
      <c r="W254" s="97"/>
      <c r="X254" s="97"/>
      <c r="Y254" s="97"/>
      <c r="Z254" s="97"/>
    </row>
    <row r="255" spans="1:26" ht="15" hidden="1">
      <c r="A255" s="97"/>
      <c r="B255" s="97"/>
      <c r="C255" s="97"/>
      <c r="D255" s="97"/>
      <c r="E255" s="97"/>
      <c r="F255" s="97"/>
      <c r="G255" s="97"/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/>
      <c r="S255" s="97"/>
      <c r="T255" s="97"/>
      <c r="U255" s="97"/>
      <c r="V255" s="97"/>
      <c r="W255" s="97"/>
      <c r="X255" s="97"/>
      <c r="Y255" s="97"/>
      <c r="Z255" s="97"/>
    </row>
    <row r="256" spans="1:26" ht="15" hidden="1">
      <c r="A256" s="97"/>
      <c r="B256" s="97"/>
      <c r="C256" s="97"/>
      <c r="D256" s="97"/>
      <c r="E256" s="97"/>
      <c r="F256" s="97"/>
      <c r="G256" s="97"/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/>
      <c r="S256" s="97"/>
      <c r="T256" s="97"/>
      <c r="U256" s="97"/>
      <c r="V256" s="97"/>
      <c r="W256" s="97"/>
      <c r="X256" s="97"/>
      <c r="Y256" s="97"/>
      <c r="Z256" s="97"/>
    </row>
    <row r="257" spans="1:26" ht="15" hidden="1">
      <c r="A257" s="97"/>
      <c r="B257" s="97"/>
      <c r="C257" s="97"/>
      <c r="D257" s="97"/>
      <c r="E257" s="97"/>
      <c r="F257" s="97"/>
      <c r="G257" s="97"/>
      <c r="H257" s="97"/>
      <c r="I257" s="97"/>
      <c r="J257" s="97"/>
      <c r="K257" s="97"/>
      <c r="L257" s="97"/>
      <c r="M257" s="97"/>
      <c r="N257" s="97"/>
      <c r="O257" s="97"/>
      <c r="P257" s="97"/>
      <c r="Q257" s="97"/>
      <c r="R257" s="97"/>
      <c r="S257" s="97"/>
      <c r="T257" s="97"/>
      <c r="U257" s="97"/>
      <c r="V257" s="97"/>
      <c r="W257" s="97"/>
      <c r="X257" s="97"/>
      <c r="Y257" s="97"/>
      <c r="Z257" s="97"/>
    </row>
    <row r="258" spans="1:26" ht="15" hidden="1">
      <c r="A258" s="97"/>
      <c r="B258" s="97"/>
      <c r="C258" s="97"/>
      <c r="D258" s="97"/>
      <c r="E258" s="97"/>
      <c r="F258" s="97"/>
      <c r="G258" s="97"/>
      <c r="H258" s="97"/>
      <c r="I258" s="97"/>
      <c r="J258" s="97"/>
      <c r="K258" s="97"/>
      <c r="L258" s="97"/>
      <c r="M258" s="97"/>
      <c r="N258" s="97"/>
      <c r="O258" s="97"/>
      <c r="P258" s="97"/>
      <c r="Q258" s="97"/>
      <c r="R258" s="97"/>
      <c r="S258" s="97"/>
      <c r="T258" s="97"/>
      <c r="U258" s="97"/>
      <c r="V258" s="97"/>
      <c r="W258" s="97"/>
      <c r="X258" s="97"/>
      <c r="Y258" s="97"/>
      <c r="Z258" s="97"/>
    </row>
    <row r="259" spans="1:26" ht="15" hidden="1">
      <c r="A259" s="97"/>
      <c r="B259" s="97"/>
      <c r="C259" s="97"/>
      <c r="D259" s="97"/>
      <c r="E259" s="97"/>
      <c r="F259" s="97"/>
      <c r="G259" s="97"/>
      <c r="H259" s="97"/>
      <c r="I259" s="97"/>
      <c r="J259" s="97"/>
      <c r="K259" s="97"/>
      <c r="L259" s="97"/>
      <c r="M259" s="97"/>
      <c r="N259" s="97"/>
      <c r="O259" s="97"/>
      <c r="P259" s="97"/>
      <c r="Q259" s="97"/>
      <c r="R259" s="97"/>
      <c r="S259" s="97"/>
      <c r="T259" s="97"/>
      <c r="U259" s="97"/>
      <c r="V259" s="97"/>
      <c r="W259" s="97"/>
      <c r="X259" s="97"/>
      <c r="Y259" s="97"/>
      <c r="Z259" s="97"/>
    </row>
    <row r="260" spans="1:26" ht="15" hidden="1">
      <c r="A260" s="97"/>
      <c r="B260" s="97"/>
      <c r="C260" s="97"/>
      <c r="D260" s="97"/>
      <c r="E260" s="97"/>
      <c r="F260" s="97"/>
      <c r="G260" s="97"/>
      <c r="H260" s="97"/>
      <c r="I260" s="97"/>
      <c r="J260" s="97"/>
      <c r="K260" s="97"/>
      <c r="L260" s="97"/>
      <c r="M260" s="97"/>
      <c r="N260" s="97"/>
      <c r="O260" s="97"/>
      <c r="P260" s="97"/>
      <c r="Q260" s="97"/>
      <c r="R260" s="97"/>
      <c r="S260" s="97"/>
      <c r="T260" s="97"/>
      <c r="U260" s="97"/>
      <c r="V260" s="97"/>
      <c r="W260" s="97"/>
      <c r="X260" s="97"/>
      <c r="Y260" s="97"/>
      <c r="Z260" s="97"/>
    </row>
    <row r="261" spans="1:26" ht="15" hidden="1">
      <c r="A261" s="97"/>
      <c r="B261" s="97"/>
      <c r="C261" s="97"/>
      <c r="D261" s="97"/>
      <c r="E261" s="97"/>
      <c r="F261" s="97"/>
      <c r="G261" s="97"/>
      <c r="H261" s="97"/>
      <c r="I261" s="97"/>
      <c r="J261" s="97"/>
      <c r="K261" s="97"/>
      <c r="L261" s="97"/>
      <c r="M261" s="97"/>
      <c r="N261" s="97"/>
      <c r="O261" s="97"/>
      <c r="P261" s="97"/>
      <c r="Q261" s="97"/>
      <c r="R261" s="97"/>
      <c r="S261" s="97"/>
      <c r="T261" s="97"/>
      <c r="U261" s="97"/>
      <c r="V261" s="97"/>
      <c r="W261" s="97"/>
      <c r="X261" s="97"/>
      <c r="Y261" s="97"/>
      <c r="Z261" s="97"/>
    </row>
    <row r="262" spans="1:26" ht="15" hidden="1">
      <c r="A262" s="97"/>
      <c r="B262" s="97"/>
      <c r="C262" s="97"/>
      <c r="D262" s="97"/>
      <c r="E262" s="97"/>
      <c r="F262" s="97"/>
      <c r="G262" s="97"/>
      <c r="H262" s="97"/>
      <c r="I262" s="97"/>
      <c r="J262" s="97"/>
      <c r="K262" s="97"/>
      <c r="L262" s="97"/>
      <c r="M262" s="97"/>
      <c r="N262" s="97"/>
      <c r="O262" s="97"/>
      <c r="P262" s="97"/>
      <c r="Q262" s="97"/>
      <c r="R262" s="97"/>
      <c r="S262" s="97"/>
      <c r="T262" s="97"/>
      <c r="U262" s="97"/>
      <c r="V262" s="97"/>
      <c r="W262" s="97"/>
      <c r="X262" s="97"/>
      <c r="Y262" s="97"/>
      <c r="Z262" s="97"/>
    </row>
    <row r="263" spans="1:26" ht="15" hidden="1">
      <c r="A263" s="97"/>
      <c r="B263" s="97"/>
      <c r="C263" s="97"/>
      <c r="D263" s="97"/>
      <c r="E263" s="97"/>
      <c r="F263" s="97"/>
      <c r="G263" s="97"/>
      <c r="H263" s="97"/>
      <c r="I263" s="97"/>
      <c r="J263" s="97"/>
      <c r="K263" s="97"/>
      <c r="L263" s="97"/>
      <c r="M263" s="97"/>
      <c r="N263" s="97"/>
      <c r="O263" s="97"/>
      <c r="P263" s="97"/>
      <c r="Q263" s="97"/>
      <c r="R263" s="97"/>
      <c r="S263" s="97"/>
      <c r="T263" s="97"/>
      <c r="U263" s="97"/>
      <c r="V263" s="97"/>
      <c r="W263" s="97"/>
      <c r="X263" s="97"/>
      <c r="Y263" s="97"/>
      <c r="Z263" s="97"/>
    </row>
    <row r="264" spans="1:26" ht="15" hidden="1">
      <c r="A264" s="97"/>
      <c r="B264" s="97"/>
      <c r="C264" s="97"/>
      <c r="D264" s="97"/>
      <c r="E264" s="97"/>
      <c r="F264" s="97"/>
      <c r="G264" s="97"/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/>
      <c r="S264" s="97"/>
      <c r="T264" s="97"/>
      <c r="U264" s="97"/>
      <c r="V264" s="97"/>
      <c r="W264" s="97"/>
      <c r="X264" s="97"/>
      <c r="Y264" s="97"/>
      <c r="Z264" s="97"/>
    </row>
    <row r="265" spans="1:26" ht="15" hidden="1">
      <c r="A265" s="97"/>
      <c r="B265" s="97"/>
      <c r="C265" s="97"/>
      <c r="D265" s="97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/>
      <c r="S265" s="97"/>
      <c r="T265" s="97"/>
      <c r="U265" s="97"/>
      <c r="V265" s="97"/>
      <c r="W265" s="97"/>
      <c r="X265" s="97"/>
      <c r="Y265" s="97"/>
      <c r="Z265" s="97"/>
    </row>
    <row r="266" spans="1:26" ht="15" hidden="1">
      <c r="A266" s="97"/>
      <c r="B266" s="97"/>
      <c r="C266" s="97"/>
      <c r="D266" s="97"/>
      <c r="E266" s="97"/>
      <c r="F266" s="97"/>
      <c r="G266" s="97"/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/>
      <c r="S266" s="97"/>
      <c r="T266" s="97"/>
      <c r="U266" s="97"/>
      <c r="V266" s="97"/>
      <c r="W266" s="97"/>
      <c r="X266" s="97"/>
      <c r="Y266" s="97"/>
      <c r="Z266" s="97"/>
    </row>
    <row r="267" spans="1:26" ht="15" hidden="1">
      <c r="A267" s="97"/>
      <c r="B267" s="97"/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/>
      <c r="S267" s="97"/>
      <c r="T267" s="97"/>
      <c r="U267" s="97"/>
      <c r="V267" s="97"/>
      <c r="W267" s="97"/>
      <c r="X267" s="97"/>
      <c r="Y267" s="97"/>
      <c r="Z267" s="97"/>
    </row>
    <row r="268" spans="1:26" ht="15" hidden="1">
      <c r="A268" s="97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/>
      <c r="S268" s="97"/>
      <c r="T268" s="97"/>
      <c r="U268" s="97"/>
      <c r="V268" s="97"/>
      <c r="W268" s="97"/>
      <c r="X268" s="97"/>
      <c r="Y268" s="97"/>
      <c r="Z268" s="97"/>
    </row>
    <row r="269" spans="1:26" ht="15" hidden="1">
      <c r="A269" s="97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/>
      <c r="S269" s="97"/>
      <c r="T269" s="97"/>
      <c r="U269" s="97"/>
      <c r="V269" s="97"/>
      <c r="W269" s="97"/>
      <c r="X269" s="97"/>
      <c r="Y269" s="97"/>
      <c r="Z269" s="97"/>
    </row>
    <row r="270" spans="1:26" ht="15" hidden="1">
      <c r="A270" s="97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/>
      <c r="S270" s="97"/>
      <c r="T270" s="97"/>
      <c r="U270" s="97"/>
      <c r="V270" s="97"/>
      <c r="W270" s="97"/>
      <c r="X270" s="97"/>
      <c r="Y270" s="97"/>
      <c r="Z270" s="97"/>
    </row>
    <row r="271" spans="1:26" ht="15" hidden="1">
      <c r="A271" s="97"/>
      <c r="B271" s="97"/>
      <c r="C271" s="97"/>
      <c r="D271" s="97"/>
      <c r="E271" s="97"/>
      <c r="F271" s="97"/>
      <c r="G271" s="97"/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/>
      <c r="S271" s="97"/>
      <c r="T271" s="97"/>
      <c r="U271" s="97"/>
      <c r="V271" s="97"/>
      <c r="W271" s="97"/>
      <c r="X271" s="97"/>
      <c r="Y271" s="97"/>
      <c r="Z271" s="97"/>
    </row>
    <row r="272" spans="1:26" ht="15" hidden="1">
      <c r="A272" s="97"/>
      <c r="B272" s="97"/>
      <c r="C272" s="97"/>
      <c r="D272" s="97"/>
      <c r="E272" s="97"/>
      <c r="F272" s="97"/>
      <c r="G272" s="97"/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/>
      <c r="S272" s="97"/>
      <c r="T272" s="97"/>
      <c r="U272" s="97"/>
      <c r="V272" s="97"/>
      <c r="W272" s="97"/>
      <c r="X272" s="97"/>
      <c r="Y272" s="97"/>
      <c r="Z272" s="97"/>
    </row>
    <row r="273" spans="1:26" ht="15" hidden="1">
      <c r="A273" s="97"/>
      <c r="B273" s="97"/>
      <c r="C273" s="97"/>
      <c r="D273" s="97"/>
      <c r="E273" s="97"/>
      <c r="F273" s="97"/>
      <c r="G273" s="97"/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/>
      <c r="S273" s="97"/>
      <c r="T273" s="97"/>
      <c r="U273" s="97"/>
      <c r="V273" s="97"/>
      <c r="W273" s="97"/>
      <c r="X273" s="97"/>
      <c r="Y273" s="97"/>
      <c r="Z273" s="97"/>
    </row>
    <row r="274" spans="1:26" ht="15" hidden="1">
      <c r="A274" s="97"/>
      <c r="B274" s="97"/>
      <c r="C274" s="97"/>
      <c r="D274" s="97"/>
      <c r="E274" s="97"/>
      <c r="F274" s="97"/>
      <c r="G274" s="97"/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/>
      <c r="S274" s="97"/>
      <c r="T274" s="97"/>
      <c r="U274" s="97"/>
      <c r="V274" s="97"/>
      <c r="W274" s="97"/>
      <c r="X274" s="97"/>
      <c r="Y274" s="97"/>
      <c r="Z274" s="97"/>
    </row>
    <row r="275" spans="1:26" ht="15" hidden="1">
      <c r="A275" s="97"/>
      <c r="B275" s="97"/>
      <c r="C275" s="97"/>
      <c r="D275" s="97"/>
      <c r="E275" s="97"/>
      <c r="F275" s="97"/>
      <c r="G275" s="97"/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/>
      <c r="S275" s="97"/>
      <c r="T275" s="97"/>
      <c r="U275" s="97"/>
      <c r="V275" s="97"/>
      <c r="W275" s="97"/>
      <c r="X275" s="97"/>
      <c r="Y275" s="97"/>
      <c r="Z275" s="97"/>
    </row>
    <row r="276" spans="1:26" ht="15" hidden="1">
      <c r="A276" s="97"/>
      <c r="B276" s="97"/>
      <c r="C276" s="97"/>
      <c r="D276" s="97"/>
      <c r="E276" s="97"/>
      <c r="F276" s="97"/>
      <c r="G276" s="97"/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/>
      <c r="S276" s="97"/>
      <c r="T276" s="97"/>
      <c r="U276" s="97"/>
      <c r="V276" s="97"/>
      <c r="W276" s="97"/>
      <c r="X276" s="97"/>
      <c r="Y276" s="97"/>
      <c r="Z276" s="97"/>
    </row>
    <row r="277" spans="1:26" ht="15" hidden="1">
      <c r="A277" s="97"/>
      <c r="B277" s="97"/>
      <c r="C277" s="97"/>
      <c r="D277" s="97"/>
      <c r="E277" s="97"/>
      <c r="F277" s="97"/>
      <c r="G277" s="97"/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/>
      <c r="S277" s="97"/>
      <c r="T277" s="97"/>
      <c r="U277" s="97"/>
      <c r="V277" s="97"/>
      <c r="W277" s="97"/>
      <c r="X277" s="97"/>
      <c r="Y277" s="97"/>
      <c r="Z277" s="97"/>
    </row>
    <row r="278" spans="1:26" ht="15" hidden="1">
      <c r="A278" s="97"/>
      <c r="B278" s="97"/>
      <c r="C278" s="97"/>
      <c r="D278" s="97"/>
      <c r="E278" s="97"/>
      <c r="F278" s="97"/>
      <c r="G278" s="97"/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/>
      <c r="S278" s="97"/>
      <c r="T278" s="97"/>
      <c r="U278" s="97"/>
      <c r="V278" s="97"/>
      <c r="W278" s="97"/>
      <c r="X278" s="97"/>
      <c r="Y278" s="97"/>
      <c r="Z278" s="97"/>
    </row>
    <row r="279" spans="1:26" ht="15" hidden="1">
      <c r="A279" s="97"/>
      <c r="B279" s="97"/>
      <c r="C279" s="97"/>
      <c r="D279" s="97"/>
      <c r="E279" s="97"/>
      <c r="F279" s="97"/>
      <c r="G279" s="97"/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/>
      <c r="S279" s="97"/>
      <c r="T279" s="97"/>
      <c r="U279" s="97"/>
      <c r="V279" s="97"/>
      <c r="W279" s="97"/>
      <c r="X279" s="97"/>
      <c r="Y279" s="97"/>
      <c r="Z279" s="97"/>
    </row>
    <row r="280" spans="1:26" ht="15" hidden="1">
      <c r="A280" s="97"/>
      <c r="B280" s="97"/>
      <c r="C280" s="97"/>
      <c r="D280" s="97"/>
      <c r="E280" s="97"/>
      <c r="F280" s="97"/>
      <c r="G280" s="97"/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/>
      <c r="S280" s="97"/>
      <c r="T280" s="97"/>
      <c r="U280" s="97"/>
      <c r="V280" s="97"/>
      <c r="W280" s="97"/>
      <c r="X280" s="97"/>
      <c r="Y280" s="97"/>
      <c r="Z280" s="97"/>
    </row>
    <row r="281" spans="1:26" ht="15" hidden="1">
      <c r="A281" s="97"/>
      <c r="B281" s="97"/>
      <c r="C281" s="97"/>
      <c r="D281" s="97"/>
      <c r="E281" s="97"/>
      <c r="F281" s="97"/>
      <c r="G281" s="97"/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/>
      <c r="S281" s="97"/>
      <c r="T281" s="97"/>
      <c r="U281" s="97"/>
      <c r="V281" s="97"/>
      <c r="W281" s="97"/>
      <c r="X281" s="97"/>
      <c r="Y281" s="97"/>
      <c r="Z281" s="97"/>
    </row>
    <row r="282" spans="1:26" ht="15" hidden="1">
      <c r="A282" s="97"/>
      <c r="B282" s="97"/>
      <c r="C282" s="97"/>
      <c r="D282" s="97"/>
      <c r="E282" s="97"/>
      <c r="F282" s="97"/>
      <c r="G282" s="97"/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/>
      <c r="S282" s="97"/>
      <c r="T282" s="97"/>
      <c r="U282" s="97"/>
      <c r="V282" s="97"/>
      <c r="W282" s="97"/>
      <c r="X282" s="97"/>
      <c r="Y282" s="97"/>
      <c r="Z282" s="97"/>
    </row>
    <row r="283" spans="1:26" ht="15" hidden="1">
      <c r="A283" s="97"/>
      <c r="B283" s="97"/>
      <c r="C283" s="97"/>
      <c r="D283" s="97"/>
      <c r="E283" s="97"/>
      <c r="F283" s="97"/>
      <c r="G283" s="97"/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/>
      <c r="S283" s="97"/>
      <c r="T283" s="97"/>
      <c r="U283" s="97"/>
      <c r="V283" s="97"/>
      <c r="W283" s="97"/>
      <c r="X283" s="97"/>
      <c r="Y283" s="97"/>
      <c r="Z283" s="97"/>
    </row>
    <row r="284" spans="1:26" ht="15" hidden="1">
      <c r="A284" s="97"/>
      <c r="B284" s="97"/>
      <c r="C284" s="97"/>
      <c r="D284" s="97"/>
      <c r="E284" s="9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/>
      <c r="S284" s="97"/>
      <c r="T284" s="97"/>
      <c r="U284" s="97"/>
      <c r="V284" s="97"/>
      <c r="W284" s="97"/>
      <c r="X284" s="97"/>
      <c r="Y284" s="97"/>
      <c r="Z284" s="97"/>
    </row>
    <row r="285" spans="1:26" ht="15" hidden="1">
      <c r="A285" s="97"/>
      <c r="B285" s="97"/>
      <c r="C285" s="97"/>
      <c r="D285" s="97"/>
      <c r="E285" s="97"/>
      <c r="F285" s="97"/>
      <c r="G285" s="97"/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/>
      <c r="S285" s="97"/>
      <c r="T285" s="97"/>
      <c r="U285" s="97"/>
      <c r="V285" s="97"/>
      <c r="W285" s="97"/>
      <c r="X285" s="97"/>
      <c r="Y285" s="97"/>
      <c r="Z285" s="97"/>
    </row>
    <row r="286" spans="1:26" ht="15" hidden="1">
      <c r="A286" s="97"/>
      <c r="B286" s="97"/>
      <c r="C286" s="97"/>
      <c r="D286" s="97"/>
      <c r="E286" s="97"/>
      <c r="F286" s="97"/>
      <c r="G286" s="97"/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/>
      <c r="S286" s="97"/>
      <c r="T286" s="97"/>
      <c r="U286" s="97"/>
      <c r="V286" s="97"/>
      <c r="W286" s="97"/>
      <c r="X286" s="97"/>
      <c r="Y286" s="97"/>
      <c r="Z286" s="97"/>
    </row>
    <row r="287" spans="1:26" ht="15" hidden="1">
      <c r="A287" s="97"/>
      <c r="B287" s="97"/>
      <c r="C287" s="97"/>
      <c r="D287" s="97"/>
      <c r="E287" s="97"/>
      <c r="F287" s="97"/>
      <c r="G287" s="97"/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/>
      <c r="S287" s="97"/>
      <c r="T287" s="97"/>
      <c r="U287" s="97"/>
      <c r="V287" s="97"/>
      <c r="W287" s="97"/>
      <c r="X287" s="97"/>
      <c r="Y287" s="97"/>
      <c r="Z287" s="97"/>
    </row>
    <row r="288" spans="1:26" ht="15" hidden="1">
      <c r="A288" s="97"/>
      <c r="B288" s="97"/>
      <c r="C288" s="97"/>
      <c r="D288" s="97"/>
      <c r="E288" s="97"/>
      <c r="F288" s="97"/>
      <c r="G288" s="97"/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/>
      <c r="S288" s="97"/>
      <c r="T288" s="97"/>
      <c r="U288" s="97"/>
      <c r="V288" s="97"/>
      <c r="W288" s="97"/>
      <c r="X288" s="97"/>
      <c r="Y288" s="97"/>
      <c r="Z288" s="97"/>
    </row>
    <row r="289" spans="1:26" ht="15" hidden="1">
      <c r="A289" s="97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/>
      <c r="S289" s="97"/>
      <c r="T289" s="97"/>
      <c r="U289" s="97"/>
      <c r="V289" s="97"/>
      <c r="W289" s="97"/>
      <c r="X289" s="97"/>
      <c r="Y289" s="97"/>
      <c r="Z289" s="97"/>
    </row>
    <row r="290" spans="1:26" ht="15" hidden="1">
      <c r="A290" s="97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/>
      <c r="S290" s="97"/>
      <c r="T290" s="97"/>
      <c r="U290" s="97"/>
      <c r="V290" s="97"/>
      <c r="W290" s="97"/>
      <c r="X290" s="97"/>
      <c r="Y290" s="97"/>
      <c r="Z290" s="97"/>
    </row>
    <row r="291" spans="1:26" ht="15" hidden="1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ht="15" hidden="1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ht="15" hidden="1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ht="15" hidden="1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ht="15" hidden="1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ht="15" hidden="1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ht="15" hidden="1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ht="15" hidden="1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ht="15" hidden="1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ht="15" hidden="1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ht="15" hidden="1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ht="15" hidden="1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ht="15" hidden="1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ht="15" hidden="1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ht="15" hidden="1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ht="15" hidden="1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ht="15" hidden="1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ht="15" hidden="1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ht="15" hidden="1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ht="15" hidden="1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97"/>
      <c r="M310" s="97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ht="15" hidden="1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ht="15" hidden="1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97"/>
      <c r="M312" s="97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ht="15" hidden="1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97"/>
      <c r="M313" s="97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ht="15" hidden="1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97"/>
      <c r="M314" s="97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ht="15" hidden="1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97"/>
      <c r="M315" s="97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ht="15" hidden="1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ht="15" hidden="1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ht="15" hidden="1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ht="15" hidden="1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ht="15" hidden="1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ht="15" hidden="1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ht="15" hidden="1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ht="15" hidden="1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ht="15" hidden="1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ht="15" hidden="1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ht="15" hidden="1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ht="15" hidden="1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ht="15" hidden="1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ht="15" hidden="1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ht="15" hidden="1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ht="15" hidden="1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ht="15" hidden="1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ht="15" hidden="1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ht="15" hidden="1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ht="15" hidden="1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ht="15" hidden="1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ht="15" hidden="1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ht="15" hidden="1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ht="15" hidden="1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ht="15" hidden="1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ht="15" hidden="1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ht="15" hidden="1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ht="15" hidden="1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ht="15" hidden="1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ht="15" hidden="1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ht="15" hidden="1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ht="15" hidden="1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ht="15" hidden="1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ht="15" hidden="1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ht="15" hidden="1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ht="15" hidden="1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ht="15" hidden="1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ht="15" hidden="1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ht="15" hidden="1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ht="15" hidden="1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ht="15" hidden="1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ht="15" hidden="1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ht="15" hidden="1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ht="15" hidden="1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ht="15" hidden="1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ht="15" hidden="1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97"/>
      <c r="M361" s="97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ht="15" hidden="1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97"/>
      <c r="M362" s="97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ht="15" hidden="1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97"/>
      <c r="M363" s="97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ht="15" hidden="1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97"/>
      <c r="M364" s="97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ht="15" hidden="1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97"/>
      <c r="M365" s="97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ht="15" hidden="1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97"/>
      <c r="M366" s="97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ht="15" hidden="1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97"/>
      <c r="M367" s="97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ht="15" hidden="1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ht="15" hidden="1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ht="15" hidden="1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ht="15" hidden="1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ht="15" hidden="1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ht="15" hidden="1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ht="15" hidden="1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ht="15" hidden="1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ht="15" hidden="1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ht="15" hidden="1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ht="15" hidden="1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ht="15" hidden="1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ht="15" hidden="1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ht="15" hidden="1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ht="15" hidden="1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ht="15" hidden="1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ht="15" hidden="1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ht="15" hidden="1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ht="15" hidden="1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ht="15" hidden="1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ht="15" hidden="1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ht="15" hidden="1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ht="15" hidden="1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ht="15" hidden="1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ht="15" hidden="1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ht="15" hidden="1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ht="15" hidden="1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ht="15" hidden="1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ht="15" hidden="1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ht="15" hidden="1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ht="15" hidden="1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ht="15" hidden="1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ht="15" hidden="1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ht="15" hidden="1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ht="15" hidden="1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ht="15" hidden="1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ht="15" hidden="1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ht="15" hidden="1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ht="15" hidden="1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ht="15" hidden="1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ht="15" hidden="1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ht="15" hidden="1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ht="15" hidden="1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ht="15" hidden="1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ht="15" hidden="1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ht="15" hidden="1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ht="15" hidden="1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ht="15" hidden="1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ht="15" hidden="1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ht="15" hidden="1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ht="15" hidden="1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ht="15" hidden="1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ht="15" hidden="1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ht="15" hidden="1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ht="15" hidden="1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ht="15" hidden="1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ht="15" hidden="1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ht="15" hidden="1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ht="15" hidden="1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ht="15" hidden="1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ht="15" hidden="1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ht="15" hidden="1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ht="15" hidden="1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ht="15" hidden="1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ht="15" hidden="1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ht="15" hidden="1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ht="15" hidden="1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ht="15" hidden="1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ht="15" hidden="1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ht="15" hidden="1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ht="15" hidden="1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ht="15" hidden="1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ht="15" hidden="1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ht="15" hidden="1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ht="15" hidden="1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ht="15" hidden="1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ht="15" hidden="1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ht="15" hidden="1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ht="15" hidden="1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ht="15" hidden="1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ht="15" hidden="1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ht="15" hidden="1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ht="15" hidden="1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ht="15" hidden="1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ht="15" hidden="1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ht="15" hidden="1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ht="15" hidden="1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ht="15" hidden="1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ht="15" hidden="1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ht="15" hidden="1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ht="15" hidden="1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ht="15" hidden="1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ht="15" hidden="1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ht="15" hidden="1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ht="15" hidden="1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ht="15" hidden="1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ht="15" hidden="1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ht="15" hidden="1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ht="15" hidden="1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ht="15" hidden="1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ht="15" hidden="1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ht="15" hidden="1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ht="15" hidden="1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ht="15" hidden="1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ht="15" hidden="1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ht="15" hidden="1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ht="15" hidden="1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ht="15" hidden="1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ht="15" hidden="1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ht="15" hidden="1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ht="15" hidden="1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ht="15" hidden="1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ht="15" hidden="1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ht="15" hidden="1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ht="15" hidden="1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ht="15" hidden="1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ht="15" hidden="1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ht="15" hidden="1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ht="15" hidden="1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ht="15" hidden="1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ht="15" hidden="1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ht="15" hidden="1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ht="15" hidden="1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ht="15" hidden="1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ht="15" hidden="1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ht="15" hidden="1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ht="15" hidden="1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ht="15" hidden="1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ht="15" hidden="1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ht="15" hidden="1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ht="15" hidden="1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ht="15" hidden="1">
      <c r="A499" s="97"/>
      <c r="B499" s="97"/>
      <c r="C499" s="97"/>
      <c r="D499" s="97"/>
      <c r="E499" s="97"/>
      <c r="F499" s="97"/>
      <c r="G499" s="97"/>
      <c r="H499" s="97"/>
      <c r="I499" s="97"/>
      <c r="J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ht="15" hidden="1">
      <c r="A500" s="97"/>
      <c r="B500" s="97"/>
      <c r="C500" s="97"/>
      <c r="D500" s="97"/>
      <c r="E500" s="97"/>
      <c r="F500" s="97"/>
      <c r="G500" s="97"/>
      <c r="H500" s="97"/>
      <c r="I500" s="97"/>
      <c r="J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  <row r="501" spans="1:26" ht="15" hidden="1">
      <c r="A501" s="97"/>
      <c r="B501" s="97"/>
      <c r="C501" s="97"/>
      <c r="D501" s="97"/>
      <c r="E501" s="97"/>
      <c r="F501" s="97"/>
      <c r="G501" s="97"/>
      <c r="H501" s="97"/>
      <c r="I501" s="97"/>
      <c r="J501" s="97"/>
      <c r="K501" s="97"/>
      <c r="L501" s="97"/>
      <c r="M501" s="97"/>
      <c r="N501" s="97"/>
      <c r="O501" s="97"/>
      <c r="P501" s="97"/>
      <c r="Q501" s="97"/>
      <c r="R501" s="97"/>
      <c r="S501" s="97"/>
      <c r="T501" s="97"/>
      <c r="U501" s="97"/>
      <c r="V501" s="97"/>
      <c r="W501" s="97"/>
      <c r="X501" s="97"/>
      <c r="Y501" s="97"/>
      <c r="Z501" s="97"/>
    </row>
    <row r="502" spans="1:26" ht="15" hidden="1">
      <c r="A502" s="97"/>
      <c r="B502" s="97"/>
      <c r="C502" s="97"/>
      <c r="D502" s="97"/>
      <c r="E502" s="97"/>
      <c r="F502" s="97"/>
      <c r="G502" s="97"/>
      <c r="H502" s="97"/>
      <c r="I502" s="97"/>
      <c r="J502" s="97"/>
      <c r="K502" s="97"/>
      <c r="L502" s="97"/>
      <c r="M502" s="97"/>
      <c r="N502" s="97"/>
      <c r="O502" s="97"/>
      <c r="P502" s="97"/>
      <c r="Q502" s="97"/>
      <c r="R502" s="97"/>
      <c r="S502" s="97"/>
      <c r="T502" s="97"/>
      <c r="U502" s="97"/>
      <c r="V502" s="97"/>
      <c r="W502" s="97"/>
      <c r="X502" s="97"/>
      <c r="Y502" s="97"/>
      <c r="Z502" s="97"/>
    </row>
    <row r="503" spans="1:26" ht="15" hidden="1">
      <c r="A503" s="97"/>
      <c r="B503" s="97"/>
      <c r="C503" s="97"/>
      <c r="D503" s="97"/>
      <c r="E503" s="97"/>
      <c r="F503" s="97"/>
      <c r="G503" s="97"/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/>
      <c r="S503" s="97"/>
      <c r="T503" s="97"/>
      <c r="U503" s="97"/>
      <c r="V503" s="97"/>
      <c r="W503" s="97"/>
      <c r="X503" s="97"/>
      <c r="Y503" s="97"/>
      <c r="Z503" s="97"/>
    </row>
    <row r="504" spans="1:26" ht="15" hidden="1">
      <c r="A504" s="97"/>
      <c r="B504" s="97"/>
      <c r="C504" s="97"/>
      <c r="D504" s="97"/>
      <c r="E504" s="97"/>
      <c r="F504" s="97"/>
      <c r="G504" s="97"/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/>
      <c r="S504" s="97"/>
      <c r="T504" s="97"/>
      <c r="U504" s="97"/>
      <c r="V504" s="97"/>
      <c r="W504" s="97"/>
      <c r="X504" s="97"/>
      <c r="Y504" s="97"/>
      <c r="Z504" s="97"/>
    </row>
    <row r="505" spans="1:26" ht="15" hidden="1">
      <c r="A505" s="97"/>
      <c r="B505" s="97"/>
      <c r="C505" s="97"/>
      <c r="D505" s="97"/>
      <c r="E505" s="97"/>
      <c r="F505" s="97"/>
      <c r="G505" s="97"/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/>
      <c r="S505" s="97"/>
      <c r="T505" s="97"/>
      <c r="U505" s="97"/>
      <c r="V505" s="97"/>
      <c r="W505" s="97"/>
      <c r="X505" s="97"/>
      <c r="Y505" s="97"/>
      <c r="Z505" s="97"/>
    </row>
    <row r="506" spans="1:26" ht="15" hidden="1">
      <c r="A506" s="97"/>
      <c r="B506" s="97"/>
      <c r="C506" s="97"/>
      <c r="D506" s="97"/>
      <c r="E506" s="97"/>
      <c r="F506" s="97"/>
      <c r="G506" s="97"/>
      <c r="H506" s="97"/>
      <c r="I506" s="97"/>
      <c r="J506" s="97"/>
      <c r="K506" s="97"/>
      <c r="L506" s="97"/>
      <c r="M506" s="97"/>
      <c r="N506" s="97"/>
      <c r="O506" s="97"/>
      <c r="P506" s="97"/>
      <c r="Q506" s="97"/>
      <c r="R506" s="97"/>
      <c r="S506" s="97"/>
      <c r="T506" s="97"/>
      <c r="U506" s="97"/>
      <c r="V506" s="97"/>
      <c r="W506" s="97"/>
      <c r="X506" s="97"/>
      <c r="Y506" s="97"/>
      <c r="Z506" s="97"/>
    </row>
    <row r="507" spans="1:26" ht="15" hidden="1">
      <c r="A507" s="97"/>
      <c r="B507" s="97"/>
      <c r="C507" s="97"/>
      <c r="D507" s="97"/>
      <c r="E507" s="97"/>
      <c r="F507" s="97"/>
      <c r="G507" s="97"/>
      <c r="H507" s="97"/>
      <c r="I507" s="97"/>
      <c r="J507" s="97"/>
      <c r="K507" s="97"/>
      <c r="L507" s="97"/>
      <c r="M507" s="97"/>
      <c r="N507" s="97"/>
      <c r="O507" s="97"/>
      <c r="P507" s="97"/>
      <c r="Q507" s="97"/>
      <c r="R507" s="97"/>
      <c r="S507" s="97"/>
      <c r="T507" s="97"/>
      <c r="U507" s="97"/>
      <c r="V507" s="97"/>
      <c r="W507" s="97"/>
      <c r="X507" s="97"/>
      <c r="Y507" s="97"/>
      <c r="Z507" s="97"/>
    </row>
    <row r="508" spans="1:26" ht="15" hidden="1">
      <c r="A508" s="97"/>
      <c r="B508" s="97"/>
      <c r="C508" s="97"/>
      <c r="D508" s="97"/>
      <c r="E508" s="97"/>
      <c r="F508" s="97"/>
      <c r="G508" s="97"/>
      <c r="H508" s="97"/>
      <c r="I508" s="97"/>
      <c r="J508" s="97"/>
      <c r="K508" s="97"/>
      <c r="L508" s="97"/>
      <c r="M508" s="97"/>
      <c r="N508" s="97"/>
      <c r="O508" s="97"/>
      <c r="P508" s="97"/>
      <c r="Q508" s="97"/>
      <c r="R508" s="97"/>
      <c r="S508" s="97"/>
      <c r="T508" s="97"/>
      <c r="U508" s="97"/>
      <c r="V508" s="97"/>
      <c r="W508" s="97"/>
      <c r="X508" s="97"/>
      <c r="Y508" s="97"/>
      <c r="Z508" s="97"/>
    </row>
    <row r="509" spans="1:26" ht="15" hidden="1">
      <c r="A509" s="97"/>
      <c r="B509" s="97"/>
      <c r="C509" s="97"/>
      <c r="D509" s="97"/>
      <c r="E509" s="97"/>
      <c r="F509" s="97"/>
      <c r="G509" s="97"/>
      <c r="H509" s="97"/>
      <c r="I509" s="97"/>
      <c r="J509" s="97"/>
      <c r="K509" s="97"/>
      <c r="L509" s="97"/>
      <c r="M509" s="97"/>
      <c r="N509" s="97"/>
      <c r="O509" s="97"/>
      <c r="P509" s="97"/>
      <c r="Q509" s="97"/>
      <c r="R509" s="97"/>
      <c r="S509" s="97"/>
      <c r="T509" s="97"/>
      <c r="U509" s="97"/>
      <c r="V509" s="97"/>
      <c r="W509" s="97"/>
      <c r="X509" s="97"/>
      <c r="Y509" s="97"/>
      <c r="Z509" s="97"/>
    </row>
    <row r="510" spans="1:26" ht="15" hidden="1">
      <c r="A510" s="97"/>
      <c r="B510" s="97"/>
      <c r="C510" s="97"/>
      <c r="D510" s="97"/>
      <c r="E510" s="97"/>
      <c r="F510" s="97"/>
      <c r="G510" s="97"/>
      <c r="H510" s="97"/>
      <c r="I510" s="97"/>
      <c r="J510" s="97"/>
      <c r="K510" s="97"/>
      <c r="L510" s="97"/>
      <c r="M510" s="97"/>
      <c r="N510" s="97"/>
      <c r="O510" s="97"/>
      <c r="P510" s="97"/>
      <c r="Q510" s="97"/>
      <c r="R510" s="97"/>
      <c r="S510" s="97"/>
      <c r="T510" s="97"/>
      <c r="U510" s="97"/>
      <c r="V510" s="97"/>
      <c r="W510" s="97"/>
      <c r="X510" s="97"/>
      <c r="Y510" s="97"/>
      <c r="Z510" s="97"/>
    </row>
    <row r="511" spans="1:26" ht="15" hidden="1">
      <c r="A511" s="97"/>
      <c r="B511" s="97"/>
      <c r="C511" s="97"/>
      <c r="D511" s="97"/>
      <c r="E511" s="97"/>
      <c r="F511" s="97"/>
      <c r="G511" s="97"/>
      <c r="H511" s="97"/>
      <c r="I511" s="97"/>
      <c r="J511" s="97"/>
      <c r="K511" s="97"/>
      <c r="L511" s="97"/>
      <c r="M511" s="97"/>
      <c r="N511" s="97"/>
      <c r="O511" s="97"/>
      <c r="P511" s="97"/>
      <c r="Q511" s="97"/>
      <c r="R511" s="97"/>
      <c r="S511" s="97"/>
      <c r="T511" s="97"/>
      <c r="U511" s="97"/>
      <c r="V511" s="97"/>
      <c r="W511" s="97"/>
      <c r="X511" s="97"/>
      <c r="Y511" s="97"/>
      <c r="Z511" s="97"/>
    </row>
    <row r="512" spans="1:26" ht="15" hidden="1">
      <c r="A512" s="97"/>
      <c r="B512" s="97"/>
      <c r="C512" s="97"/>
      <c r="D512" s="97"/>
      <c r="E512" s="97"/>
      <c r="F512" s="97"/>
      <c r="G512" s="97"/>
      <c r="H512" s="97"/>
      <c r="I512" s="97"/>
      <c r="J512" s="97"/>
      <c r="K512" s="97"/>
      <c r="L512" s="97"/>
      <c r="M512" s="97"/>
      <c r="N512" s="97"/>
      <c r="O512" s="97"/>
      <c r="P512" s="97"/>
      <c r="Q512" s="97"/>
      <c r="R512" s="97"/>
      <c r="S512" s="97"/>
      <c r="T512" s="97"/>
      <c r="U512" s="97"/>
      <c r="V512" s="97"/>
      <c r="W512" s="97"/>
      <c r="X512" s="97"/>
      <c r="Y512" s="97"/>
      <c r="Z512" s="97"/>
    </row>
    <row r="513" spans="1:26" ht="15" hidden="1">
      <c r="A513" s="97"/>
      <c r="B513" s="97"/>
      <c r="C513" s="97"/>
      <c r="D513" s="97"/>
      <c r="E513" s="97"/>
      <c r="F513" s="97"/>
      <c r="G513" s="97"/>
      <c r="H513" s="97"/>
      <c r="I513" s="97"/>
      <c r="J513" s="97"/>
      <c r="K513" s="97"/>
      <c r="L513" s="97"/>
      <c r="M513" s="97"/>
      <c r="N513" s="97"/>
      <c r="O513" s="97"/>
      <c r="P513" s="97"/>
      <c r="Q513" s="97"/>
      <c r="R513" s="97"/>
      <c r="S513" s="97"/>
      <c r="T513" s="97"/>
      <c r="U513" s="97"/>
      <c r="V513" s="97"/>
      <c r="W513" s="97"/>
      <c r="X513" s="97"/>
      <c r="Y513" s="97"/>
      <c r="Z513" s="97"/>
    </row>
    <row r="514" spans="1:26" ht="15" hidden="1">
      <c r="A514" s="97"/>
      <c r="B514" s="97"/>
      <c r="C514" s="97"/>
      <c r="D514" s="97"/>
      <c r="E514" s="97"/>
      <c r="F514" s="97"/>
      <c r="G514" s="97"/>
      <c r="H514" s="97"/>
      <c r="I514" s="97"/>
      <c r="J514" s="97"/>
      <c r="K514" s="97"/>
      <c r="L514" s="97"/>
      <c r="M514" s="97"/>
      <c r="N514" s="97"/>
      <c r="O514" s="97"/>
      <c r="P514" s="97"/>
      <c r="Q514" s="97"/>
      <c r="R514" s="97"/>
      <c r="S514" s="97"/>
      <c r="T514" s="97"/>
      <c r="U514" s="97"/>
      <c r="V514" s="97"/>
      <c r="W514" s="97"/>
      <c r="X514" s="97"/>
      <c r="Y514" s="97"/>
      <c r="Z514" s="97"/>
    </row>
    <row r="515" spans="1:26" ht="15" hidden="1">
      <c r="A515" s="97"/>
      <c r="B515" s="97"/>
      <c r="C515" s="97"/>
      <c r="D515" s="97"/>
      <c r="E515" s="97"/>
      <c r="F515" s="97"/>
      <c r="G515" s="97"/>
      <c r="H515" s="97"/>
      <c r="I515" s="97"/>
      <c r="J515" s="97"/>
      <c r="K515" s="97"/>
      <c r="L515" s="97"/>
      <c r="M515" s="97"/>
      <c r="N515" s="97"/>
      <c r="O515" s="97"/>
      <c r="P515" s="97"/>
      <c r="Q515" s="97"/>
      <c r="R515" s="97"/>
      <c r="S515" s="97"/>
      <c r="T515" s="97"/>
      <c r="U515" s="97"/>
      <c r="V515" s="97"/>
      <c r="W515" s="97"/>
      <c r="X515" s="97"/>
      <c r="Y515" s="97"/>
      <c r="Z515" s="97"/>
    </row>
    <row r="516" spans="1:26" ht="15" hidden="1">
      <c r="A516" s="97"/>
      <c r="B516" s="97"/>
      <c r="C516" s="97"/>
      <c r="D516" s="97"/>
      <c r="E516" s="97"/>
      <c r="F516" s="97"/>
      <c r="G516" s="97"/>
      <c r="H516" s="97"/>
      <c r="I516" s="97"/>
      <c r="J516" s="97"/>
      <c r="K516" s="97"/>
      <c r="L516" s="97"/>
      <c r="M516" s="97"/>
      <c r="N516" s="97"/>
      <c r="O516" s="97"/>
      <c r="P516" s="97"/>
      <c r="Q516" s="97"/>
      <c r="R516" s="97"/>
      <c r="S516" s="97"/>
      <c r="T516" s="97"/>
      <c r="U516" s="97"/>
      <c r="V516" s="97"/>
      <c r="W516" s="97"/>
      <c r="X516" s="97"/>
      <c r="Y516" s="97"/>
      <c r="Z516" s="97"/>
    </row>
    <row r="517" spans="1:26" ht="15" hidden="1">
      <c r="A517" s="97"/>
      <c r="B517" s="97"/>
      <c r="C517" s="97"/>
      <c r="D517" s="97"/>
      <c r="E517" s="97"/>
      <c r="F517" s="97"/>
      <c r="G517" s="97"/>
      <c r="H517" s="97"/>
      <c r="I517" s="97"/>
      <c r="J517" s="97"/>
      <c r="K517" s="97"/>
      <c r="L517" s="97"/>
      <c r="M517" s="97"/>
      <c r="N517" s="97"/>
      <c r="O517" s="97"/>
      <c r="P517" s="97"/>
      <c r="Q517" s="97"/>
      <c r="R517" s="97"/>
      <c r="S517" s="97"/>
      <c r="T517" s="97"/>
      <c r="U517" s="97"/>
      <c r="V517" s="97"/>
      <c r="W517" s="97"/>
      <c r="X517" s="97"/>
      <c r="Y517" s="97"/>
      <c r="Z517" s="97"/>
    </row>
    <row r="518" spans="1:26" ht="15" hidden="1">
      <c r="A518" s="97"/>
      <c r="B518" s="97"/>
      <c r="C518" s="97"/>
      <c r="D518" s="97"/>
      <c r="E518" s="97"/>
      <c r="F518" s="97"/>
      <c r="G518" s="97"/>
      <c r="H518" s="97"/>
      <c r="I518" s="97"/>
      <c r="J518" s="97"/>
      <c r="K518" s="97"/>
      <c r="L518" s="97"/>
      <c r="M518" s="97"/>
      <c r="N518" s="97"/>
      <c r="O518" s="97"/>
      <c r="P518" s="97"/>
      <c r="Q518" s="97"/>
      <c r="R518" s="97"/>
      <c r="S518" s="97"/>
      <c r="T518" s="97"/>
      <c r="U518" s="97"/>
      <c r="V518" s="97"/>
      <c r="W518" s="97"/>
      <c r="X518" s="97"/>
      <c r="Y518" s="97"/>
      <c r="Z518" s="97"/>
    </row>
    <row r="519" spans="1:26" ht="15" hidden="1">
      <c r="A519" s="97"/>
      <c r="B519" s="97"/>
      <c r="C519" s="97"/>
      <c r="D519" s="97"/>
      <c r="E519" s="97"/>
      <c r="F519" s="97"/>
      <c r="G519" s="97"/>
      <c r="H519" s="97"/>
      <c r="I519" s="97"/>
      <c r="J519" s="97"/>
      <c r="K519" s="97"/>
      <c r="L519" s="97"/>
      <c r="M519" s="97"/>
      <c r="N519" s="97"/>
      <c r="O519" s="97"/>
      <c r="P519" s="97"/>
      <c r="Q519" s="97"/>
      <c r="R519" s="97"/>
      <c r="S519" s="97"/>
      <c r="T519" s="97"/>
      <c r="U519" s="97"/>
      <c r="V519" s="97"/>
      <c r="W519" s="97"/>
      <c r="X519" s="97"/>
      <c r="Y519" s="97"/>
      <c r="Z519" s="97"/>
    </row>
    <row r="520" spans="1:26" ht="15" hidden="1">
      <c r="A520" s="97"/>
      <c r="B520" s="97"/>
      <c r="C520" s="97"/>
      <c r="D520" s="97"/>
      <c r="E520" s="97"/>
      <c r="F520" s="97"/>
      <c r="G520" s="97"/>
      <c r="H520" s="97"/>
      <c r="I520" s="97"/>
      <c r="J520" s="97"/>
      <c r="K520" s="97"/>
      <c r="L520" s="97"/>
      <c r="M520" s="97"/>
      <c r="N520" s="97"/>
      <c r="O520" s="97"/>
      <c r="P520" s="97"/>
      <c r="Q520" s="97"/>
      <c r="R520" s="97"/>
      <c r="S520" s="97"/>
      <c r="T520" s="97"/>
      <c r="U520" s="97"/>
      <c r="V520" s="97"/>
      <c r="W520" s="97"/>
      <c r="X520" s="97"/>
      <c r="Y520" s="97"/>
      <c r="Z520" s="97"/>
    </row>
    <row r="521" spans="1:26" ht="15" hidden="1">
      <c r="A521" s="97"/>
      <c r="B521" s="97"/>
      <c r="C521" s="97"/>
      <c r="D521" s="97"/>
      <c r="E521" s="97"/>
      <c r="F521" s="97"/>
      <c r="G521" s="97"/>
      <c r="H521" s="97"/>
      <c r="I521" s="97"/>
      <c r="J521" s="97"/>
      <c r="K521" s="97"/>
      <c r="L521" s="97"/>
      <c r="M521" s="97"/>
      <c r="N521" s="97"/>
      <c r="O521" s="97"/>
      <c r="P521" s="97"/>
      <c r="Q521" s="97"/>
      <c r="R521" s="97"/>
      <c r="S521" s="97"/>
      <c r="T521" s="97"/>
      <c r="U521" s="97"/>
      <c r="V521" s="97"/>
      <c r="W521" s="97"/>
      <c r="X521" s="97"/>
      <c r="Y521" s="97"/>
      <c r="Z521" s="97"/>
    </row>
    <row r="522" spans="1:26" ht="15" hidden="1">
      <c r="A522" s="97"/>
      <c r="B522" s="97"/>
      <c r="C522" s="97"/>
      <c r="D522" s="97"/>
      <c r="E522" s="97"/>
      <c r="F522" s="97"/>
      <c r="G522" s="97"/>
      <c r="H522" s="97"/>
      <c r="I522" s="97"/>
      <c r="J522" s="97"/>
      <c r="K522" s="97"/>
      <c r="L522" s="97"/>
      <c r="M522" s="97"/>
      <c r="N522" s="97"/>
      <c r="O522" s="97"/>
      <c r="P522" s="97"/>
      <c r="Q522" s="97"/>
      <c r="R522" s="97"/>
      <c r="S522" s="97"/>
      <c r="T522" s="97"/>
      <c r="U522" s="97"/>
      <c r="V522" s="97"/>
      <c r="W522" s="97"/>
      <c r="X522" s="97"/>
      <c r="Y522" s="97"/>
      <c r="Z522" s="97"/>
    </row>
    <row r="523" spans="1:26" ht="15" hidden="1">
      <c r="A523" s="97"/>
      <c r="B523" s="97"/>
      <c r="C523" s="97"/>
      <c r="D523" s="97"/>
      <c r="E523" s="97"/>
      <c r="F523" s="97"/>
      <c r="G523" s="97"/>
      <c r="H523" s="97"/>
      <c r="I523" s="97"/>
      <c r="J523" s="97"/>
      <c r="K523" s="97"/>
      <c r="L523" s="97"/>
      <c r="M523" s="97"/>
      <c r="N523" s="97"/>
      <c r="O523" s="97"/>
      <c r="P523" s="97"/>
      <c r="Q523" s="97"/>
      <c r="R523" s="97"/>
      <c r="S523" s="97"/>
      <c r="T523" s="97"/>
      <c r="U523" s="97"/>
      <c r="V523" s="97"/>
      <c r="W523" s="97"/>
      <c r="X523" s="97"/>
      <c r="Y523" s="97"/>
      <c r="Z523" s="97"/>
    </row>
    <row r="524" spans="1:26" ht="15" hidden="1">
      <c r="A524" s="97"/>
      <c r="B524" s="97"/>
      <c r="C524" s="97"/>
      <c r="D524" s="97"/>
      <c r="E524" s="97"/>
      <c r="F524" s="97"/>
      <c r="G524" s="97"/>
      <c r="H524" s="97"/>
      <c r="I524" s="97"/>
      <c r="J524" s="97"/>
      <c r="K524" s="97"/>
      <c r="L524" s="97"/>
      <c r="M524" s="97"/>
      <c r="N524" s="97"/>
      <c r="O524" s="97"/>
      <c r="P524" s="97"/>
      <c r="Q524" s="97"/>
      <c r="R524" s="97"/>
      <c r="S524" s="97"/>
      <c r="T524" s="97"/>
      <c r="U524" s="97"/>
      <c r="V524" s="97"/>
      <c r="W524" s="97"/>
      <c r="X524" s="97"/>
      <c r="Y524" s="97"/>
      <c r="Z524" s="97"/>
    </row>
    <row r="525" spans="1:26" ht="15" hidden="1">
      <c r="A525" s="97"/>
      <c r="B525" s="97"/>
      <c r="C525" s="97"/>
      <c r="D525" s="97"/>
      <c r="E525" s="97"/>
      <c r="F525" s="97"/>
      <c r="G525" s="97"/>
      <c r="H525" s="97"/>
      <c r="I525" s="97"/>
      <c r="J525" s="97"/>
      <c r="K525" s="97"/>
      <c r="L525" s="97"/>
      <c r="M525" s="97"/>
      <c r="N525" s="97"/>
      <c r="O525" s="97"/>
      <c r="P525" s="97"/>
      <c r="Q525" s="97"/>
      <c r="R525" s="97"/>
      <c r="S525" s="97"/>
      <c r="T525" s="97"/>
      <c r="U525" s="97"/>
      <c r="V525" s="97"/>
      <c r="W525" s="97"/>
      <c r="X525" s="97"/>
      <c r="Y525" s="97"/>
      <c r="Z525" s="97"/>
    </row>
    <row r="526" spans="1:26" ht="15" hidden="1">
      <c r="A526" s="97"/>
      <c r="B526" s="97"/>
      <c r="C526" s="97"/>
      <c r="D526" s="97"/>
      <c r="E526" s="97"/>
      <c r="F526" s="97"/>
      <c r="G526" s="97"/>
      <c r="H526" s="97"/>
      <c r="I526" s="97"/>
      <c r="J526" s="97"/>
      <c r="K526" s="97"/>
      <c r="L526" s="97"/>
      <c r="M526" s="97"/>
      <c r="N526" s="97"/>
      <c r="O526" s="97"/>
      <c r="P526" s="97"/>
      <c r="Q526" s="97"/>
      <c r="R526" s="97"/>
      <c r="S526" s="97"/>
      <c r="T526" s="97"/>
      <c r="U526" s="97"/>
      <c r="V526" s="97"/>
      <c r="W526" s="97"/>
      <c r="X526" s="97"/>
      <c r="Y526" s="97"/>
      <c r="Z526" s="97"/>
    </row>
    <row r="527" spans="1:26" ht="15" hidden="1">
      <c r="A527" s="97"/>
      <c r="B527" s="97"/>
      <c r="C527" s="97"/>
      <c r="D527" s="97"/>
      <c r="E527" s="97"/>
      <c r="F527" s="97"/>
      <c r="G527" s="97"/>
      <c r="H527" s="97"/>
      <c r="I527" s="97"/>
      <c r="J527" s="97"/>
      <c r="K527" s="97"/>
      <c r="L527" s="97"/>
      <c r="M527" s="97"/>
      <c r="N527" s="97"/>
      <c r="O527" s="97"/>
      <c r="P527" s="97"/>
      <c r="Q527" s="97"/>
      <c r="R527" s="97"/>
      <c r="S527" s="97"/>
      <c r="T527" s="97"/>
      <c r="U527" s="97"/>
      <c r="V527" s="97"/>
      <c r="W527" s="97"/>
      <c r="X527" s="97"/>
      <c r="Y527" s="97"/>
      <c r="Z527" s="97"/>
    </row>
    <row r="528" spans="1:26" ht="15" hidden="1">
      <c r="A528" s="97"/>
      <c r="B528" s="97"/>
      <c r="C528" s="97"/>
      <c r="D528" s="97"/>
      <c r="E528" s="97"/>
      <c r="F528" s="97"/>
      <c r="G528" s="97"/>
      <c r="H528" s="97"/>
      <c r="I528" s="97"/>
      <c r="J528" s="97"/>
      <c r="K528" s="97"/>
      <c r="L528" s="97"/>
      <c r="M528" s="97"/>
      <c r="N528" s="97"/>
      <c r="O528" s="97"/>
      <c r="P528" s="97"/>
      <c r="Q528" s="97"/>
      <c r="R528" s="97"/>
      <c r="S528" s="97"/>
      <c r="T528" s="97"/>
      <c r="U528" s="97"/>
      <c r="V528" s="97"/>
      <c r="W528" s="97"/>
      <c r="X528" s="97"/>
      <c r="Y528" s="97"/>
      <c r="Z528" s="97"/>
    </row>
    <row r="529" spans="1:26" ht="15" hidden="1">
      <c r="A529" s="97"/>
      <c r="B529" s="97"/>
      <c r="C529" s="97"/>
      <c r="D529" s="97"/>
      <c r="E529" s="97"/>
      <c r="F529" s="97"/>
      <c r="G529" s="97"/>
      <c r="H529" s="97"/>
      <c r="I529" s="97"/>
      <c r="J529" s="97"/>
      <c r="K529" s="97"/>
      <c r="L529" s="97"/>
      <c r="M529" s="97"/>
      <c r="N529" s="97"/>
      <c r="O529" s="97"/>
      <c r="P529" s="97"/>
      <c r="Q529" s="97"/>
      <c r="R529" s="97"/>
      <c r="S529" s="97"/>
      <c r="T529" s="97"/>
      <c r="U529" s="97"/>
      <c r="V529" s="97"/>
      <c r="W529" s="97"/>
      <c r="X529" s="97"/>
      <c r="Y529" s="97"/>
      <c r="Z529" s="97"/>
    </row>
    <row r="530" spans="1:26" ht="15" hidden="1">
      <c r="A530" s="97"/>
      <c r="B530" s="97"/>
      <c r="C530" s="97"/>
      <c r="D530" s="97"/>
      <c r="E530" s="97"/>
      <c r="F530" s="97"/>
      <c r="G530" s="97"/>
      <c r="H530" s="97"/>
      <c r="I530" s="97"/>
      <c r="J530" s="97"/>
      <c r="K530" s="97"/>
      <c r="L530" s="97"/>
      <c r="M530" s="97"/>
      <c r="N530" s="97"/>
      <c r="O530" s="97"/>
      <c r="P530" s="97"/>
      <c r="Q530" s="97"/>
      <c r="R530" s="97"/>
      <c r="S530" s="97"/>
      <c r="T530" s="97"/>
      <c r="U530" s="97"/>
      <c r="V530" s="97"/>
      <c r="W530" s="97"/>
      <c r="X530" s="97"/>
      <c r="Y530" s="97"/>
      <c r="Z530" s="97"/>
    </row>
    <row r="531" spans="1:26" ht="15" hidden="1">
      <c r="A531" s="97"/>
      <c r="B531" s="97"/>
      <c r="C531" s="97"/>
      <c r="D531" s="97"/>
      <c r="E531" s="97"/>
      <c r="F531" s="97"/>
      <c r="G531" s="97"/>
      <c r="H531" s="97"/>
      <c r="I531" s="97"/>
      <c r="J531" s="97"/>
      <c r="K531" s="97"/>
      <c r="L531" s="97"/>
      <c r="M531" s="97"/>
      <c r="N531" s="97"/>
      <c r="O531" s="97"/>
      <c r="P531" s="97"/>
      <c r="Q531" s="97"/>
      <c r="R531" s="97"/>
      <c r="S531" s="97"/>
      <c r="T531" s="97"/>
      <c r="U531" s="97"/>
      <c r="V531" s="97"/>
      <c r="W531" s="97"/>
      <c r="X531" s="97"/>
      <c r="Y531" s="97"/>
      <c r="Z531" s="97"/>
    </row>
    <row r="532" spans="1:26" ht="15" hidden="1">
      <c r="A532" s="97"/>
      <c r="B532" s="97"/>
      <c r="C532" s="97"/>
      <c r="D532" s="97"/>
      <c r="E532" s="97"/>
      <c r="F532" s="97"/>
      <c r="G532" s="97"/>
      <c r="H532" s="97"/>
      <c r="I532" s="97"/>
      <c r="J532" s="97"/>
      <c r="K532" s="97"/>
      <c r="L532" s="97"/>
      <c r="M532" s="97"/>
      <c r="N532" s="97"/>
      <c r="O532" s="97"/>
      <c r="P532" s="97"/>
      <c r="Q532" s="97"/>
      <c r="R532" s="97"/>
      <c r="S532" s="97"/>
      <c r="T532" s="97"/>
      <c r="U532" s="97"/>
      <c r="V532" s="97"/>
      <c r="W532" s="97"/>
      <c r="X532" s="97"/>
      <c r="Y532" s="97"/>
      <c r="Z532" s="97"/>
    </row>
    <row r="533" spans="1:26" ht="15" hidden="1">
      <c r="A533" s="97"/>
      <c r="B533" s="97"/>
      <c r="C533" s="97"/>
      <c r="D533" s="97"/>
      <c r="E533" s="97"/>
      <c r="F533" s="97"/>
      <c r="G533" s="97"/>
      <c r="H533" s="97"/>
      <c r="I533" s="97"/>
      <c r="J533" s="97"/>
      <c r="K533" s="97"/>
      <c r="L533" s="97"/>
      <c r="M533" s="97"/>
      <c r="N533" s="97"/>
      <c r="O533" s="97"/>
      <c r="P533" s="97"/>
      <c r="Q533" s="97"/>
      <c r="R533" s="97"/>
      <c r="S533" s="97"/>
      <c r="T533" s="97"/>
      <c r="U533" s="97"/>
      <c r="V533" s="97"/>
      <c r="W533" s="97"/>
      <c r="X533" s="97"/>
      <c r="Y533" s="97"/>
      <c r="Z533" s="97"/>
    </row>
    <row r="534" spans="1:26" ht="15" hidden="1">
      <c r="A534" s="97"/>
      <c r="B534" s="97"/>
      <c r="C534" s="97"/>
      <c r="D534" s="97"/>
      <c r="E534" s="97"/>
      <c r="F534" s="97"/>
      <c r="G534" s="97"/>
      <c r="H534" s="97"/>
      <c r="I534" s="97"/>
      <c r="J534" s="97"/>
      <c r="K534" s="97"/>
      <c r="L534" s="97"/>
      <c r="M534" s="97"/>
      <c r="N534" s="97"/>
      <c r="O534" s="97"/>
      <c r="P534" s="97"/>
      <c r="Q534" s="97"/>
      <c r="R534" s="97"/>
      <c r="S534" s="97"/>
      <c r="T534" s="97"/>
      <c r="U534" s="97"/>
      <c r="V534" s="97"/>
      <c r="W534" s="97"/>
      <c r="X534" s="97"/>
      <c r="Y534" s="97"/>
      <c r="Z534" s="97"/>
    </row>
    <row r="535" spans="1:26" ht="15" hidden="1">
      <c r="A535" s="97"/>
      <c r="B535" s="97"/>
      <c r="C535" s="97"/>
      <c r="D535" s="97"/>
      <c r="E535" s="97"/>
      <c r="F535" s="97"/>
      <c r="G535" s="97"/>
      <c r="H535" s="97"/>
      <c r="I535" s="97"/>
      <c r="J535" s="97"/>
      <c r="K535" s="97"/>
      <c r="L535" s="97"/>
      <c r="M535" s="97"/>
      <c r="N535" s="97"/>
      <c r="O535" s="97"/>
      <c r="P535" s="97"/>
      <c r="Q535" s="97"/>
      <c r="R535" s="97"/>
      <c r="S535" s="97"/>
      <c r="T535" s="97"/>
      <c r="U535" s="97"/>
      <c r="V535" s="97"/>
      <c r="W535" s="97"/>
      <c r="X535" s="97"/>
      <c r="Y535" s="97"/>
      <c r="Z535" s="97"/>
    </row>
    <row r="536" spans="1:26" ht="15" hidden="1">
      <c r="A536" s="97"/>
      <c r="B536" s="97"/>
      <c r="C536" s="97"/>
      <c r="D536" s="97"/>
      <c r="E536" s="97"/>
      <c r="F536" s="97"/>
      <c r="G536" s="97"/>
      <c r="H536" s="97"/>
      <c r="I536" s="97"/>
      <c r="J536" s="97"/>
      <c r="K536" s="97"/>
      <c r="L536" s="97"/>
      <c r="M536" s="97"/>
      <c r="N536" s="97"/>
      <c r="O536" s="97"/>
      <c r="P536" s="97"/>
      <c r="Q536" s="97"/>
      <c r="R536" s="97"/>
      <c r="S536" s="97"/>
      <c r="T536" s="97"/>
      <c r="U536" s="97"/>
      <c r="V536" s="97"/>
      <c r="W536" s="97"/>
      <c r="X536" s="97"/>
      <c r="Y536" s="97"/>
      <c r="Z536" s="97"/>
    </row>
    <row r="537" spans="1:26" ht="15" hidden="1">
      <c r="A537" s="97"/>
      <c r="B537" s="97"/>
      <c r="C537" s="97"/>
      <c r="D537" s="97"/>
      <c r="E537" s="97"/>
      <c r="F537" s="97"/>
      <c r="G537" s="97"/>
      <c r="H537" s="97"/>
      <c r="I537" s="97"/>
      <c r="J537" s="97"/>
      <c r="K537" s="97"/>
      <c r="L537" s="97"/>
      <c r="M537" s="97"/>
      <c r="N537" s="97"/>
      <c r="O537" s="97"/>
      <c r="P537" s="97"/>
      <c r="Q537" s="97"/>
      <c r="R537" s="97"/>
      <c r="S537" s="97"/>
      <c r="T537" s="97"/>
      <c r="U537" s="97"/>
      <c r="V537" s="97"/>
      <c r="W537" s="97"/>
      <c r="X537" s="97"/>
      <c r="Y537" s="97"/>
      <c r="Z537" s="97"/>
    </row>
    <row r="538" spans="1:26" ht="15" hidden="1">
      <c r="A538" s="97"/>
      <c r="B538" s="97"/>
      <c r="C538" s="97"/>
      <c r="D538" s="97"/>
      <c r="E538" s="97"/>
      <c r="F538" s="97"/>
      <c r="G538" s="97"/>
      <c r="H538" s="97"/>
      <c r="I538" s="97"/>
      <c r="J538" s="97"/>
      <c r="K538" s="97"/>
      <c r="L538" s="97"/>
      <c r="M538" s="97"/>
      <c r="N538" s="97"/>
      <c r="O538" s="97"/>
      <c r="P538" s="97"/>
      <c r="Q538" s="97"/>
      <c r="R538" s="97"/>
      <c r="S538" s="97"/>
      <c r="T538" s="97"/>
      <c r="U538" s="97"/>
      <c r="V538" s="97"/>
      <c r="W538" s="97"/>
      <c r="X538" s="97"/>
      <c r="Y538" s="97"/>
      <c r="Z538" s="97"/>
    </row>
    <row r="539" spans="1:26" ht="15" hidden="1">
      <c r="A539" s="97"/>
      <c r="B539" s="97"/>
      <c r="C539" s="97"/>
      <c r="D539" s="97"/>
      <c r="E539" s="97"/>
      <c r="F539" s="97"/>
      <c r="G539" s="97"/>
      <c r="H539" s="97"/>
      <c r="I539" s="97"/>
      <c r="J539" s="97"/>
      <c r="K539" s="97"/>
      <c r="L539" s="97"/>
      <c r="M539" s="97"/>
      <c r="N539" s="97"/>
      <c r="O539" s="97"/>
      <c r="P539" s="97"/>
      <c r="Q539" s="97"/>
      <c r="R539" s="97"/>
      <c r="S539" s="97"/>
      <c r="T539" s="97"/>
      <c r="U539" s="97"/>
      <c r="V539" s="97"/>
      <c r="W539" s="97"/>
      <c r="X539" s="97"/>
      <c r="Y539" s="97"/>
      <c r="Z539" s="97"/>
    </row>
    <row r="540" spans="1:26" ht="15" hidden="1">
      <c r="A540" s="97"/>
      <c r="B540" s="97"/>
      <c r="C540" s="97"/>
      <c r="D540" s="97"/>
      <c r="E540" s="97"/>
      <c r="F540" s="97"/>
      <c r="G540" s="97"/>
      <c r="H540" s="97"/>
      <c r="I540" s="97"/>
      <c r="J540" s="97"/>
      <c r="K540" s="97"/>
      <c r="L540" s="97"/>
      <c r="M540" s="97"/>
      <c r="N540" s="97"/>
      <c r="O540" s="97"/>
      <c r="P540" s="97"/>
      <c r="Q540" s="97"/>
      <c r="R540" s="97"/>
      <c r="S540" s="97"/>
      <c r="T540" s="97"/>
      <c r="U540" s="97"/>
      <c r="V540" s="97"/>
      <c r="W540" s="97"/>
      <c r="X540" s="97"/>
      <c r="Y540" s="97"/>
      <c r="Z540" s="97"/>
    </row>
    <row r="541" spans="1:26" ht="15" hidden="1">
      <c r="A541" s="97"/>
      <c r="B541" s="97"/>
      <c r="C541" s="97"/>
      <c r="D541" s="97"/>
      <c r="E541" s="97"/>
      <c r="F541" s="97"/>
      <c r="G541" s="97"/>
      <c r="H541" s="97"/>
      <c r="I541" s="97"/>
      <c r="J541" s="97"/>
      <c r="K541" s="97"/>
      <c r="L541" s="97"/>
      <c r="M541" s="97"/>
      <c r="N541" s="97"/>
      <c r="O541" s="97"/>
      <c r="P541" s="97"/>
      <c r="Q541" s="97"/>
      <c r="R541" s="97"/>
      <c r="S541" s="97"/>
      <c r="T541" s="97"/>
      <c r="U541" s="97"/>
      <c r="V541" s="97"/>
      <c r="W541" s="97"/>
      <c r="X541" s="97"/>
      <c r="Y541" s="97"/>
      <c r="Z541" s="97"/>
    </row>
    <row r="542" spans="1:26" ht="15" hidden="1">
      <c r="A542" s="97"/>
      <c r="B542" s="97"/>
      <c r="C542" s="97"/>
      <c r="D542" s="97"/>
      <c r="E542" s="97"/>
      <c r="F542" s="97"/>
      <c r="G542" s="97"/>
      <c r="H542" s="97"/>
      <c r="I542" s="97"/>
      <c r="J542" s="97"/>
      <c r="K542" s="97"/>
      <c r="L542" s="97"/>
      <c r="M542" s="97"/>
      <c r="N542" s="97"/>
      <c r="O542" s="97"/>
      <c r="P542" s="97"/>
      <c r="Q542" s="97"/>
      <c r="R542" s="97"/>
      <c r="S542" s="97"/>
      <c r="T542" s="97"/>
      <c r="U542" s="97"/>
      <c r="V542" s="97"/>
      <c r="W542" s="97"/>
      <c r="X542" s="97"/>
      <c r="Y542" s="97"/>
      <c r="Z542" s="97"/>
    </row>
    <row r="543" spans="1:26" ht="15" hidden="1">
      <c r="A543" s="97"/>
      <c r="B543" s="97"/>
      <c r="C543" s="97"/>
      <c r="D543" s="97"/>
      <c r="E543" s="97"/>
      <c r="F543" s="97"/>
      <c r="G543" s="97"/>
      <c r="H543" s="97"/>
      <c r="I543" s="97"/>
      <c r="J543" s="97"/>
      <c r="K543" s="97"/>
      <c r="L543" s="97"/>
      <c r="M543" s="97"/>
      <c r="N543" s="97"/>
      <c r="O543" s="97"/>
      <c r="P543" s="97"/>
      <c r="Q543" s="97"/>
      <c r="R543" s="97"/>
      <c r="S543" s="97"/>
      <c r="T543" s="97"/>
      <c r="U543" s="97"/>
      <c r="V543" s="97"/>
      <c r="W543" s="97"/>
      <c r="X543" s="97"/>
      <c r="Y543" s="97"/>
      <c r="Z543" s="97"/>
    </row>
    <row r="544" spans="1:26" ht="15" hidden="1">
      <c r="A544" s="97"/>
      <c r="B544" s="97"/>
      <c r="C544" s="97"/>
      <c r="D544" s="97"/>
      <c r="E544" s="97"/>
      <c r="F544" s="97"/>
      <c r="G544" s="97"/>
      <c r="H544" s="97"/>
      <c r="I544" s="97"/>
      <c r="J544" s="97"/>
      <c r="K544" s="97"/>
      <c r="L544" s="97"/>
      <c r="M544" s="97"/>
      <c r="N544" s="97"/>
      <c r="O544" s="97"/>
      <c r="P544" s="97"/>
      <c r="Q544" s="97"/>
      <c r="R544" s="97"/>
      <c r="S544" s="97"/>
      <c r="T544" s="97"/>
      <c r="U544" s="97"/>
      <c r="V544" s="97"/>
      <c r="W544" s="97"/>
      <c r="X544" s="97"/>
      <c r="Y544" s="97"/>
      <c r="Z544" s="97"/>
    </row>
    <row r="545" spans="1:26" ht="15" hidden="1">
      <c r="A545" s="97"/>
      <c r="B545" s="97"/>
      <c r="C545" s="97"/>
      <c r="D545" s="97"/>
      <c r="E545" s="97"/>
      <c r="F545" s="97"/>
      <c r="G545" s="97"/>
      <c r="H545" s="97"/>
      <c r="I545" s="97"/>
      <c r="J545" s="97"/>
      <c r="K545" s="97"/>
      <c r="L545" s="97"/>
      <c r="M545" s="97"/>
      <c r="N545" s="97"/>
      <c r="O545" s="97"/>
      <c r="P545" s="97"/>
      <c r="Q545" s="97"/>
      <c r="R545" s="97"/>
      <c r="S545" s="97"/>
      <c r="T545" s="97"/>
      <c r="U545" s="97"/>
      <c r="V545" s="97"/>
      <c r="W545" s="97"/>
      <c r="X545" s="97"/>
      <c r="Y545" s="97"/>
      <c r="Z545" s="97"/>
    </row>
    <row r="546" spans="1:26" ht="15" hidden="1">
      <c r="A546" s="97"/>
      <c r="B546" s="97"/>
      <c r="C546" s="97"/>
      <c r="D546" s="97"/>
      <c r="E546" s="97"/>
      <c r="F546" s="97"/>
      <c r="G546" s="97"/>
      <c r="H546" s="97"/>
      <c r="I546" s="97"/>
      <c r="J546" s="97"/>
      <c r="K546" s="97"/>
      <c r="L546" s="97"/>
      <c r="M546" s="97"/>
      <c r="N546" s="97"/>
      <c r="O546" s="97"/>
      <c r="P546" s="97"/>
      <c r="Q546" s="97"/>
      <c r="R546" s="97"/>
      <c r="S546" s="97"/>
      <c r="T546" s="97"/>
      <c r="U546" s="97"/>
      <c r="V546" s="97"/>
      <c r="W546" s="97"/>
      <c r="X546" s="97"/>
      <c r="Y546" s="97"/>
      <c r="Z546" s="97"/>
    </row>
    <row r="547" spans="1:26" ht="15" hidden="1">
      <c r="A547" s="97"/>
      <c r="B547" s="97"/>
      <c r="C547" s="97"/>
      <c r="D547" s="97"/>
      <c r="E547" s="97"/>
      <c r="F547" s="97"/>
      <c r="G547" s="97"/>
      <c r="H547" s="97"/>
      <c r="I547" s="97"/>
      <c r="J547" s="97"/>
      <c r="K547" s="97"/>
      <c r="L547" s="97"/>
      <c r="M547" s="97"/>
      <c r="N547" s="97"/>
      <c r="O547" s="97"/>
      <c r="P547" s="97"/>
      <c r="Q547" s="97"/>
      <c r="R547" s="97"/>
      <c r="S547" s="97"/>
      <c r="T547" s="97"/>
      <c r="U547" s="97"/>
      <c r="V547" s="97"/>
      <c r="W547" s="97"/>
      <c r="X547" s="97"/>
      <c r="Y547" s="97"/>
      <c r="Z547" s="97"/>
    </row>
    <row r="548" spans="1:26" ht="15" hidden="1">
      <c r="A548" s="97"/>
      <c r="B548" s="97"/>
      <c r="C548" s="97"/>
      <c r="D548" s="97"/>
      <c r="E548" s="97"/>
      <c r="F548" s="97"/>
      <c r="G548" s="97"/>
      <c r="H548" s="97"/>
      <c r="I548" s="97"/>
      <c r="J548" s="97"/>
      <c r="K548" s="97"/>
      <c r="L548" s="97"/>
      <c r="M548" s="97"/>
      <c r="N548" s="97"/>
      <c r="O548" s="97"/>
      <c r="P548" s="97"/>
      <c r="Q548" s="97"/>
      <c r="R548" s="97"/>
      <c r="S548" s="97"/>
      <c r="T548" s="97"/>
      <c r="U548" s="97"/>
      <c r="V548" s="97"/>
      <c r="W548" s="97"/>
      <c r="X548" s="97"/>
      <c r="Y548" s="97"/>
      <c r="Z548" s="97"/>
    </row>
    <row r="549" spans="1:26" ht="15" hidden="1">
      <c r="A549" s="97"/>
      <c r="B549" s="97"/>
      <c r="C549" s="97"/>
      <c r="D549" s="97"/>
      <c r="E549" s="97"/>
      <c r="F549" s="97"/>
      <c r="G549" s="97"/>
      <c r="H549" s="97"/>
      <c r="I549" s="97"/>
      <c r="J549" s="97"/>
      <c r="K549" s="97"/>
      <c r="L549" s="97"/>
      <c r="M549" s="97"/>
      <c r="N549" s="97"/>
      <c r="O549" s="97"/>
      <c r="P549" s="97"/>
      <c r="Q549" s="97"/>
      <c r="R549" s="97"/>
      <c r="S549" s="97"/>
      <c r="T549" s="97"/>
      <c r="U549" s="97"/>
      <c r="V549" s="97"/>
      <c r="W549" s="97"/>
      <c r="X549" s="97"/>
      <c r="Y549" s="97"/>
      <c r="Z549" s="97"/>
    </row>
    <row r="550" spans="1:26" ht="15" hidden="1">
      <c r="A550" s="97"/>
      <c r="B550" s="97"/>
      <c r="C550" s="97"/>
      <c r="D550" s="97"/>
      <c r="E550" s="97"/>
      <c r="F550" s="97"/>
      <c r="G550" s="97"/>
      <c r="H550" s="97"/>
      <c r="I550" s="97"/>
      <c r="J550" s="97"/>
      <c r="K550" s="97"/>
      <c r="L550" s="97"/>
      <c r="M550" s="97"/>
      <c r="N550" s="97"/>
      <c r="O550" s="97"/>
      <c r="P550" s="97"/>
      <c r="Q550" s="97"/>
      <c r="R550" s="97"/>
      <c r="S550" s="97"/>
      <c r="T550" s="97"/>
      <c r="U550" s="97"/>
      <c r="V550" s="97"/>
      <c r="W550" s="97"/>
      <c r="X550" s="97"/>
      <c r="Y550" s="97"/>
      <c r="Z550" s="97"/>
    </row>
    <row r="551" spans="1:26" ht="15" hidden="1">
      <c r="A551" s="97"/>
      <c r="B551" s="97"/>
      <c r="C551" s="97"/>
      <c r="D551" s="97"/>
      <c r="E551" s="97"/>
      <c r="F551" s="97"/>
      <c r="G551" s="97"/>
      <c r="H551" s="97"/>
      <c r="I551" s="97"/>
      <c r="J551" s="97"/>
      <c r="K551" s="97"/>
      <c r="L551" s="97"/>
      <c r="M551" s="97"/>
      <c r="N551" s="97"/>
      <c r="O551" s="97"/>
      <c r="P551" s="97"/>
      <c r="Q551" s="97"/>
      <c r="R551" s="97"/>
      <c r="S551" s="97"/>
      <c r="T551" s="97"/>
      <c r="U551" s="97"/>
      <c r="V551" s="97"/>
      <c r="W551" s="97"/>
      <c r="X551" s="97"/>
      <c r="Y551" s="97"/>
      <c r="Z551" s="97"/>
    </row>
    <row r="552" spans="1:26" ht="15" hidden="1">
      <c r="A552" s="97"/>
      <c r="B552" s="97"/>
      <c r="C552" s="97"/>
      <c r="D552" s="97"/>
      <c r="E552" s="97"/>
      <c r="F552" s="97"/>
      <c r="G552" s="97"/>
      <c r="H552" s="97"/>
      <c r="I552" s="97"/>
      <c r="J552" s="97"/>
      <c r="K552" s="97"/>
      <c r="L552" s="97"/>
      <c r="M552" s="97"/>
      <c r="N552" s="97"/>
      <c r="O552" s="97"/>
      <c r="P552" s="97"/>
      <c r="Q552" s="97"/>
      <c r="R552" s="97"/>
      <c r="S552" s="97"/>
      <c r="T552" s="97"/>
      <c r="U552" s="97"/>
      <c r="V552" s="97"/>
      <c r="W552" s="97"/>
      <c r="X552" s="97"/>
      <c r="Y552" s="97"/>
      <c r="Z552" s="97"/>
    </row>
    <row r="553" spans="1:26" ht="15" hidden="1">
      <c r="A553" s="97"/>
      <c r="B553" s="97"/>
      <c r="C553" s="97"/>
      <c r="D553" s="97"/>
      <c r="E553" s="97"/>
      <c r="F553" s="97"/>
      <c r="G553" s="97"/>
      <c r="H553" s="97"/>
      <c r="I553" s="97"/>
      <c r="J553" s="97"/>
      <c r="K553" s="97"/>
      <c r="L553" s="97"/>
      <c r="M553" s="97"/>
      <c r="N553" s="97"/>
      <c r="O553" s="97"/>
      <c r="P553" s="97"/>
      <c r="Q553" s="97"/>
      <c r="R553" s="97"/>
      <c r="S553" s="97"/>
      <c r="T553" s="97"/>
      <c r="U553" s="97"/>
      <c r="V553" s="97"/>
      <c r="W553" s="97"/>
      <c r="X553" s="97"/>
      <c r="Y553" s="97"/>
      <c r="Z553" s="97"/>
    </row>
    <row r="554" spans="1:26" ht="15" hidden="1">
      <c r="A554" s="97"/>
      <c r="B554" s="97"/>
      <c r="C554" s="97"/>
      <c r="D554" s="97"/>
      <c r="E554" s="97"/>
      <c r="F554" s="97"/>
      <c r="G554" s="97"/>
      <c r="H554" s="97"/>
      <c r="I554" s="97"/>
      <c r="J554" s="97"/>
      <c r="K554" s="97"/>
      <c r="L554" s="97"/>
      <c r="M554" s="97"/>
      <c r="N554" s="97"/>
      <c r="O554" s="97"/>
      <c r="P554" s="97"/>
      <c r="Q554" s="97"/>
      <c r="R554" s="97"/>
      <c r="S554" s="97"/>
      <c r="T554" s="97"/>
      <c r="U554" s="97"/>
      <c r="V554" s="97"/>
      <c r="W554" s="97"/>
      <c r="X554" s="97"/>
      <c r="Y554" s="97"/>
      <c r="Z554" s="97"/>
    </row>
    <row r="555" spans="1:26" ht="15" hidden="1">
      <c r="A555" s="97"/>
      <c r="B555" s="97"/>
      <c r="C555" s="97"/>
      <c r="D555" s="97"/>
      <c r="E555" s="97"/>
      <c r="F555" s="97"/>
      <c r="G555" s="97"/>
      <c r="H555" s="97"/>
      <c r="I555" s="97"/>
      <c r="J555" s="97"/>
      <c r="K555" s="97"/>
      <c r="L555" s="97"/>
      <c r="M555" s="97"/>
      <c r="N555" s="97"/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</row>
    <row r="556" spans="1:26" ht="15" hidden="1">
      <c r="A556" s="97"/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</row>
    <row r="557" spans="1:26" ht="15" hidden="1">
      <c r="A557" s="97"/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</row>
    <row r="558" spans="1:26" ht="15" hidden="1">
      <c r="A558" s="97"/>
      <c r="B558" s="97"/>
      <c r="C558" s="97"/>
      <c r="D558" s="97"/>
      <c r="E558" s="97"/>
      <c r="F558" s="97"/>
      <c r="G558" s="97"/>
      <c r="H558" s="97"/>
      <c r="I558" s="97"/>
      <c r="J558" s="97"/>
      <c r="K558" s="97"/>
      <c r="L558" s="97"/>
      <c r="M558" s="97"/>
      <c r="N558" s="97"/>
      <c r="O558" s="97"/>
      <c r="P558" s="97"/>
      <c r="Q558" s="97"/>
      <c r="R558" s="97"/>
      <c r="S558" s="97"/>
      <c r="T558" s="97"/>
      <c r="U558" s="97"/>
      <c r="V558" s="97"/>
      <c r="W558" s="97"/>
      <c r="X558" s="97"/>
      <c r="Y558" s="97"/>
      <c r="Z558" s="97"/>
    </row>
    <row r="559" spans="1:26" ht="15" hidden="1">
      <c r="A559" s="97"/>
      <c r="B559" s="97"/>
      <c r="C559" s="97"/>
      <c r="D559" s="97"/>
      <c r="E559" s="97"/>
      <c r="F559" s="97"/>
      <c r="G559" s="97"/>
      <c r="H559" s="97"/>
      <c r="I559" s="97"/>
      <c r="J559" s="97"/>
      <c r="K559" s="97"/>
      <c r="L559" s="97"/>
      <c r="M559" s="97"/>
      <c r="N559" s="97"/>
      <c r="O559" s="97"/>
      <c r="P559" s="97"/>
      <c r="Q559" s="97"/>
      <c r="R559" s="97"/>
      <c r="S559" s="97"/>
      <c r="T559" s="97"/>
      <c r="U559" s="97"/>
      <c r="V559" s="97"/>
      <c r="W559" s="97"/>
      <c r="X559" s="97"/>
      <c r="Y559" s="97"/>
      <c r="Z559" s="97"/>
    </row>
    <row r="560" spans="1:26" ht="15" hidden="1">
      <c r="A560" s="97"/>
      <c r="B560" s="97"/>
      <c r="C560" s="97"/>
      <c r="D560" s="97"/>
      <c r="E560" s="97"/>
      <c r="F560" s="97"/>
      <c r="G560" s="97"/>
      <c r="H560" s="97"/>
      <c r="I560" s="97"/>
      <c r="J560" s="97"/>
      <c r="K560" s="97"/>
      <c r="L560" s="97"/>
      <c r="M560" s="97"/>
      <c r="N560" s="97"/>
      <c r="O560" s="97"/>
      <c r="P560" s="97"/>
      <c r="Q560" s="97"/>
      <c r="R560" s="97"/>
      <c r="S560" s="97"/>
      <c r="T560" s="97"/>
      <c r="U560" s="97"/>
      <c r="V560" s="97"/>
      <c r="W560" s="97"/>
      <c r="X560" s="97"/>
      <c r="Y560" s="97"/>
      <c r="Z560" s="97"/>
    </row>
    <row r="561" spans="1:26" ht="15" hidden="1">
      <c r="A561" s="97"/>
      <c r="B561" s="97"/>
      <c r="C561" s="97"/>
      <c r="D561" s="97"/>
      <c r="E561" s="97"/>
      <c r="F561" s="97"/>
      <c r="G561" s="97"/>
      <c r="H561" s="97"/>
      <c r="I561" s="97"/>
      <c r="J561" s="97"/>
      <c r="K561" s="97"/>
      <c r="L561" s="97"/>
      <c r="M561" s="97"/>
      <c r="N561" s="97"/>
      <c r="O561" s="97"/>
      <c r="P561" s="97"/>
      <c r="Q561" s="97"/>
      <c r="R561" s="97"/>
      <c r="S561" s="97"/>
      <c r="T561" s="97"/>
      <c r="U561" s="97"/>
      <c r="V561" s="97"/>
      <c r="W561" s="97"/>
      <c r="X561" s="97"/>
      <c r="Y561" s="97"/>
      <c r="Z561" s="97"/>
    </row>
    <row r="562" spans="1:26" ht="15" hidden="1">
      <c r="A562" s="97"/>
      <c r="B562" s="97"/>
      <c r="C562" s="97"/>
      <c r="D562" s="97"/>
      <c r="E562" s="97"/>
      <c r="F562" s="97"/>
      <c r="G562" s="97"/>
      <c r="H562" s="97"/>
      <c r="I562" s="97"/>
      <c r="J562" s="97"/>
      <c r="K562" s="97"/>
      <c r="L562" s="97"/>
      <c r="M562" s="97"/>
      <c r="N562" s="97"/>
      <c r="O562" s="97"/>
      <c r="P562" s="97"/>
      <c r="Q562" s="97"/>
      <c r="R562" s="97"/>
      <c r="S562" s="97"/>
      <c r="T562" s="97"/>
      <c r="U562" s="97"/>
      <c r="V562" s="97"/>
      <c r="W562" s="97"/>
      <c r="X562" s="97"/>
      <c r="Y562" s="97"/>
      <c r="Z562" s="97"/>
    </row>
    <row r="563" spans="1:26" ht="15" hidden="1">
      <c r="A563" s="97"/>
      <c r="B563" s="97"/>
      <c r="C563" s="97"/>
      <c r="D563" s="97"/>
      <c r="E563" s="97"/>
      <c r="F563" s="97"/>
      <c r="G563" s="97"/>
      <c r="H563" s="97"/>
      <c r="I563" s="97"/>
      <c r="J563" s="97"/>
      <c r="K563" s="97"/>
      <c r="L563" s="97"/>
      <c r="M563" s="97"/>
      <c r="N563" s="97"/>
      <c r="O563" s="97"/>
      <c r="P563" s="97"/>
      <c r="Q563" s="97"/>
      <c r="R563" s="97"/>
      <c r="S563" s="97"/>
      <c r="T563" s="97"/>
      <c r="U563" s="97"/>
      <c r="V563" s="97"/>
      <c r="W563" s="97"/>
      <c r="X563" s="97"/>
      <c r="Y563" s="97"/>
      <c r="Z563" s="97"/>
    </row>
    <row r="564" spans="1:26" ht="15" hidden="1">
      <c r="A564" s="97"/>
      <c r="B564" s="97"/>
      <c r="C564" s="97"/>
      <c r="D564" s="97"/>
      <c r="E564" s="97"/>
      <c r="F564" s="97"/>
      <c r="G564" s="97"/>
      <c r="H564" s="97"/>
      <c r="I564" s="97"/>
      <c r="J564" s="97"/>
      <c r="K564" s="97"/>
      <c r="L564" s="97"/>
      <c r="M564" s="97"/>
      <c r="N564" s="97"/>
      <c r="O564" s="97"/>
      <c r="P564" s="97"/>
      <c r="Q564" s="97"/>
      <c r="R564" s="97"/>
      <c r="S564" s="97"/>
      <c r="T564" s="97"/>
      <c r="U564" s="97"/>
      <c r="V564" s="97"/>
      <c r="W564" s="97"/>
      <c r="X564" s="97"/>
      <c r="Y564" s="97"/>
      <c r="Z564" s="97"/>
    </row>
    <row r="565" spans="1:26" ht="15" hidden="1">
      <c r="A565" s="97"/>
      <c r="B565" s="97"/>
      <c r="C565" s="97"/>
      <c r="D565" s="97"/>
      <c r="E565" s="97"/>
      <c r="F565" s="97"/>
      <c r="G565" s="97"/>
      <c r="H565" s="97"/>
      <c r="I565" s="97"/>
      <c r="J565" s="97"/>
      <c r="K565" s="97"/>
      <c r="L565" s="97"/>
      <c r="M565" s="97"/>
      <c r="N565" s="97"/>
      <c r="O565" s="97"/>
      <c r="P565" s="97"/>
      <c r="Q565" s="97"/>
      <c r="R565" s="97"/>
      <c r="S565" s="97"/>
      <c r="T565" s="97"/>
      <c r="U565" s="97"/>
      <c r="V565" s="97"/>
      <c r="W565" s="97"/>
      <c r="X565" s="97"/>
      <c r="Y565" s="97"/>
      <c r="Z565" s="97"/>
    </row>
    <row r="566" spans="1:26" ht="15" hidden="1">
      <c r="A566" s="97"/>
      <c r="B566" s="97"/>
      <c r="C566" s="97"/>
      <c r="D566" s="97"/>
      <c r="E566" s="97"/>
      <c r="F566" s="97"/>
      <c r="G566" s="97"/>
      <c r="H566" s="97"/>
      <c r="I566" s="97"/>
      <c r="J566" s="97"/>
      <c r="K566" s="97"/>
      <c r="L566" s="97"/>
      <c r="M566" s="97"/>
      <c r="N566" s="97"/>
      <c r="O566" s="97"/>
      <c r="P566" s="97"/>
      <c r="Q566" s="97"/>
      <c r="R566" s="97"/>
      <c r="S566" s="97"/>
      <c r="T566" s="97"/>
      <c r="U566" s="97"/>
      <c r="V566" s="97"/>
      <c r="W566" s="97"/>
      <c r="X566" s="97"/>
      <c r="Y566" s="97"/>
      <c r="Z566" s="97"/>
    </row>
    <row r="567" spans="1:26" ht="15" hidden="1">
      <c r="A567" s="97"/>
      <c r="B567" s="97"/>
      <c r="C567" s="97"/>
      <c r="D567" s="97"/>
      <c r="E567" s="97"/>
      <c r="F567" s="97"/>
      <c r="G567" s="97"/>
      <c r="H567" s="97"/>
      <c r="I567" s="97"/>
      <c r="J567" s="97"/>
      <c r="K567" s="97"/>
      <c r="L567" s="97"/>
      <c r="M567" s="97"/>
      <c r="N567" s="97"/>
      <c r="O567" s="97"/>
      <c r="P567" s="97"/>
      <c r="Q567" s="97"/>
      <c r="R567" s="97"/>
      <c r="S567" s="97"/>
      <c r="T567" s="97"/>
      <c r="U567" s="97"/>
      <c r="V567" s="97"/>
      <c r="W567" s="97"/>
      <c r="X567" s="97"/>
      <c r="Y567" s="97"/>
      <c r="Z567" s="97"/>
    </row>
    <row r="568" spans="1:26" ht="15" hidden="1">
      <c r="A568" s="97"/>
      <c r="B568" s="97"/>
      <c r="C568" s="97"/>
      <c r="D568" s="97"/>
      <c r="E568" s="97"/>
      <c r="F568" s="97"/>
      <c r="G568" s="97"/>
      <c r="H568" s="97"/>
      <c r="I568" s="97"/>
      <c r="J568" s="97"/>
      <c r="K568" s="97"/>
      <c r="L568" s="97"/>
      <c r="M568" s="97"/>
      <c r="N568" s="97"/>
      <c r="O568" s="97"/>
      <c r="P568" s="97"/>
      <c r="Q568" s="97"/>
      <c r="R568" s="97"/>
      <c r="S568" s="97"/>
      <c r="T568" s="97"/>
      <c r="U568" s="97"/>
      <c r="V568" s="97"/>
      <c r="W568" s="97"/>
      <c r="X568" s="97"/>
      <c r="Y568" s="97"/>
      <c r="Z568" s="97"/>
    </row>
    <row r="569" spans="1:26" ht="15" hidden="1">
      <c r="A569" s="97"/>
      <c r="B569" s="97"/>
      <c r="C569" s="97"/>
      <c r="D569" s="97"/>
      <c r="E569" s="97"/>
      <c r="F569" s="97"/>
      <c r="G569" s="97"/>
      <c r="H569" s="97"/>
      <c r="I569" s="97"/>
      <c r="J569" s="97"/>
      <c r="K569" s="97"/>
      <c r="L569" s="97"/>
      <c r="M569" s="97"/>
      <c r="N569" s="97"/>
      <c r="O569" s="97"/>
      <c r="P569" s="97"/>
      <c r="Q569" s="97"/>
      <c r="R569" s="97"/>
      <c r="S569" s="97"/>
      <c r="T569" s="97"/>
      <c r="U569" s="97"/>
      <c r="V569" s="97"/>
      <c r="W569" s="97"/>
      <c r="X569" s="97"/>
      <c r="Y569" s="97"/>
      <c r="Z569" s="97"/>
    </row>
    <row r="570" spans="1:26" ht="15" hidden="1">
      <c r="A570" s="97"/>
      <c r="B570" s="97"/>
      <c r="C570" s="97"/>
      <c r="D570" s="97"/>
      <c r="E570" s="97"/>
      <c r="F570" s="97"/>
      <c r="G570" s="97"/>
      <c r="H570" s="97"/>
      <c r="I570" s="97"/>
      <c r="J570" s="97"/>
      <c r="K570" s="97"/>
      <c r="L570" s="97"/>
      <c r="M570" s="97"/>
      <c r="N570" s="97"/>
      <c r="O570" s="97"/>
      <c r="P570" s="97"/>
      <c r="Q570" s="97"/>
      <c r="R570" s="97"/>
      <c r="S570" s="97"/>
      <c r="T570" s="97"/>
      <c r="U570" s="97"/>
      <c r="V570" s="97"/>
      <c r="W570" s="97"/>
      <c r="X570" s="97"/>
      <c r="Y570" s="97"/>
      <c r="Z570" s="97"/>
    </row>
    <row r="571" spans="1:26" ht="15" hidden="1">
      <c r="A571" s="97"/>
      <c r="B571" s="97"/>
      <c r="C571" s="97"/>
      <c r="D571" s="97"/>
      <c r="E571" s="97"/>
      <c r="F571" s="97"/>
      <c r="G571" s="97"/>
      <c r="H571" s="97"/>
      <c r="I571" s="97"/>
      <c r="J571" s="97"/>
      <c r="K571" s="97"/>
      <c r="L571" s="97"/>
      <c r="M571" s="97"/>
      <c r="N571" s="97"/>
      <c r="O571" s="97"/>
      <c r="P571" s="97"/>
      <c r="Q571" s="97"/>
      <c r="R571" s="97"/>
      <c r="S571" s="97"/>
      <c r="T571" s="97"/>
      <c r="U571" s="97"/>
      <c r="V571" s="97"/>
      <c r="W571" s="97"/>
      <c r="X571" s="97"/>
      <c r="Y571" s="97"/>
      <c r="Z571" s="97"/>
    </row>
    <row r="572" spans="1:26" ht="15" hidden="1">
      <c r="A572" s="97"/>
      <c r="B572" s="97"/>
      <c r="C572" s="97"/>
      <c r="D572" s="97"/>
      <c r="E572" s="97"/>
      <c r="F572" s="97"/>
      <c r="G572" s="97"/>
      <c r="H572" s="97"/>
      <c r="I572" s="97"/>
      <c r="J572" s="97"/>
      <c r="K572" s="97"/>
      <c r="L572" s="97"/>
      <c r="M572" s="97"/>
      <c r="N572" s="97"/>
      <c r="O572" s="97"/>
      <c r="P572" s="97"/>
      <c r="Q572" s="97"/>
      <c r="R572" s="97"/>
      <c r="S572" s="97"/>
      <c r="T572" s="97"/>
      <c r="U572" s="97"/>
      <c r="V572" s="97"/>
      <c r="W572" s="97"/>
      <c r="X572" s="97"/>
      <c r="Y572" s="97"/>
      <c r="Z572" s="97"/>
    </row>
    <row r="573" spans="1:26" ht="15" hidden="1">
      <c r="A573" s="97"/>
      <c r="B573" s="97"/>
      <c r="C573" s="97"/>
      <c r="D573" s="97"/>
      <c r="E573" s="97"/>
      <c r="F573" s="97"/>
      <c r="G573" s="97"/>
      <c r="H573" s="97"/>
      <c r="I573" s="97"/>
      <c r="J573" s="97"/>
      <c r="K573" s="97"/>
      <c r="L573" s="97"/>
      <c r="M573" s="97"/>
      <c r="N573" s="97"/>
      <c r="O573" s="97"/>
      <c r="P573" s="97"/>
      <c r="Q573" s="97"/>
      <c r="R573" s="97"/>
      <c r="S573" s="97"/>
      <c r="T573" s="97"/>
      <c r="U573" s="97"/>
      <c r="V573" s="97"/>
      <c r="W573" s="97"/>
      <c r="X573" s="97"/>
      <c r="Y573" s="97"/>
      <c r="Z573" s="97"/>
    </row>
    <row r="574" spans="1:26" ht="15" hidden="1">
      <c r="A574" s="97"/>
      <c r="B574" s="97"/>
      <c r="C574" s="97"/>
      <c r="D574" s="97"/>
      <c r="E574" s="97"/>
      <c r="F574" s="97"/>
      <c r="G574" s="97"/>
      <c r="H574" s="97"/>
      <c r="I574" s="97"/>
      <c r="J574" s="97"/>
      <c r="K574" s="97"/>
      <c r="L574" s="97"/>
      <c r="M574" s="97"/>
      <c r="N574" s="97"/>
      <c r="O574" s="97"/>
      <c r="P574" s="97"/>
      <c r="Q574" s="97"/>
      <c r="R574" s="97"/>
      <c r="S574" s="97"/>
      <c r="T574" s="97"/>
      <c r="U574" s="97"/>
      <c r="V574" s="97"/>
      <c r="W574" s="97"/>
      <c r="X574" s="97"/>
      <c r="Y574" s="97"/>
      <c r="Z574" s="97"/>
    </row>
    <row r="575" spans="1:26" ht="15" hidden="1">
      <c r="A575" s="97"/>
      <c r="B575" s="97"/>
      <c r="C575" s="97"/>
      <c r="D575" s="97"/>
      <c r="E575" s="97"/>
      <c r="F575" s="97"/>
      <c r="G575" s="97"/>
      <c r="H575" s="97"/>
      <c r="I575" s="97"/>
      <c r="J575" s="97"/>
      <c r="K575" s="97"/>
      <c r="L575" s="97"/>
      <c r="M575" s="97"/>
      <c r="N575" s="97"/>
      <c r="O575" s="97"/>
      <c r="P575" s="97"/>
      <c r="Q575" s="97"/>
      <c r="R575" s="97"/>
      <c r="S575" s="97"/>
      <c r="T575" s="97"/>
      <c r="U575" s="97"/>
      <c r="V575" s="97"/>
      <c r="W575" s="97"/>
      <c r="X575" s="97"/>
      <c r="Y575" s="97"/>
      <c r="Z575" s="97"/>
    </row>
    <row r="576" spans="1:26" ht="15" hidden="1">
      <c r="A576" s="97"/>
      <c r="B576" s="97"/>
      <c r="C576" s="97"/>
      <c r="D576" s="97"/>
      <c r="E576" s="97"/>
      <c r="F576" s="97"/>
      <c r="G576" s="97"/>
      <c r="H576" s="97"/>
      <c r="I576" s="97"/>
      <c r="J576" s="97"/>
      <c r="K576" s="97"/>
      <c r="L576" s="97"/>
      <c r="M576" s="97"/>
      <c r="N576" s="97"/>
      <c r="O576" s="97"/>
      <c r="P576" s="97"/>
      <c r="Q576" s="97"/>
      <c r="R576" s="97"/>
      <c r="S576" s="97"/>
      <c r="T576" s="97"/>
      <c r="U576" s="97"/>
      <c r="V576" s="97"/>
      <c r="W576" s="97"/>
      <c r="X576" s="97"/>
      <c r="Y576" s="97"/>
      <c r="Z576" s="97"/>
    </row>
    <row r="577" spans="1:26" ht="15" hidden="1">
      <c r="A577" s="97"/>
      <c r="B577" s="97"/>
      <c r="C577" s="97"/>
      <c r="D577" s="97"/>
      <c r="E577" s="97"/>
      <c r="F577" s="97"/>
      <c r="G577" s="97"/>
      <c r="H577" s="97"/>
      <c r="I577" s="97"/>
      <c r="J577" s="97"/>
      <c r="K577" s="97"/>
      <c r="L577" s="97"/>
      <c r="M577" s="97"/>
      <c r="N577" s="97"/>
      <c r="O577" s="97"/>
      <c r="P577" s="97"/>
      <c r="Q577" s="97"/>
      <c r="R577" s="97"/>
      <c r="S577" s="97"/>
      <c r="T577" s="97"/>
      <c r="U577" s="97"/>
      <c r="V577" s="97"/>
      <c r="W577" s="97"/>
      <c r="X577" s="97"/>
      <c r="Y577" s="97"/>
      <c r="Z577" s="97"/>
    </row>
    <row r="578" spans="1:26" ht="15" hidden="1">
      <c r="A578" s="97"/>
      <c r="B578" s="97"/>
      <c r="C578" s="97"/>
      <c r="D578" s="97"/>
      <c r="E578" s="97"/>
      <c r="F578" s="97"/>
      <c r="G578" s="97"/>
      <c r="H578" s="97"/>
      <c r="I578" s="97"/>
      <c r="J578" s="97"/>
      <c r="K578" s="97"/>
      <c r="L578" s="97"/>
      <c r="M578" s="97"/>
      <c r="N578" s="97"/>
      <c r="O578" s="97"/>
      <c r="P578" s="97"/>
      <c r="Q578" s="97"/>
      <c r="R578" s="97"/>
      <c r="S578" s="97"/>
      <c r="T578" s="97"/>
      <c r="U578" s="97"/>
      <c r="V578" s="97"/>
      <c r="W578" s="97"/>
      <c r="X578" s="97"/>
      <c r="Y578" s="97"/>
      <c r="Z578" s="97"/>
    </row>
    <row r="579" spans="1:26" ht="15" hidden="1">
      <c r="A579" s="97"/>
      <c r="B579" s="97"/>
      <c r="C579" s="97"/>
      <c r="D579" s="97"/>
      <c r="E579" s="97"/>
      <c r="F579" s="97"/>
      <c r="G579" s="97"/>
      <c r="H579" s="97"/>
      <c r="I579" s="97"/>
      <c r="J579" s="97"/>
      <c r="K579" s="97"/>
      <c r="L579" s="97"/>
      <c r="M579" s="97"/>
      <c r="N579" s="97"/>
      <c r="O579" s="97"/>
      <c r="P579" s="97"/>
      <c r="Q579" s="97"/>
      <c r="R579" s="97"/>
      <c r="S579" s="97"/>
      <c r="T579" s="97"/>
      <c r="U579" s="97"/>
      <c r="V579" s="97"/>
      <c r="W579" s="97"/>
      <c r="X579" s="97"/>
      <c r="Y579" s="97"/>
      <c r="Z579" s="97"/>
    </row>
    <row r="580" spans="1:26" ht="15" hidden="1">
      <c r="A580" s="97"/>
      <c r="B580" s="97"/>
      <c r="C580" s="97"/>
      <c r="D580" s="97"/>
      <c r="E580" s="97"/>
      <c r="F580" s="97"/>
      <c r="G580" s="97"/>
      <c r="H580" s="97"/>
      <c r="I580" s="97"/>
      <c r="J580" s="97"/>
      <c r="K580" s="97"/>
      <c r="L580" s="97"/>
      <c r="M580" s="97"/>
      <c r="N580" s="97"/>
      <c r="O580" s="97"/>
      <c r="P580" s="97"/>
      <c r="Q580" s="97"/>
      <c r="R580" s="97"/>
      <c r="S580" s="97"/>
      <c r="T580" s="97"/>
      <c r="U580" s="97"/>
      <c r="V580" s="97"/>
      <c r="W580" s="97"/>
      <c r="X580" s="97"/>
      <c r="Y580" s="97"/>
      <c r="Z580" s="97"/>
    </row>
    <row r="581" spans="1:26" ht="15" hidden="1">
      <c r="A581" s="97"/>
      <c r="B581" s="97"/>
      <c r="C581" s="97"/>
      <c r="D581" s="97"/>
      <c r="E581" s="97"/>
      <c r="F581" s="97"/>
      <c r="G581" s="97"/>
      <c r="H581" s="97"/>
      <c r="I581" s="97"/>
      <c r="J581" s="97"/>
      <c r="K581" s="97"/>
      <c r="L581" s="97"/>
      <c r="M581" s="97"/>
      <c r="N581" s="97"/>
      <c r="O581" s="97"/>
      <c r="P581" s="97"/>
      <c r="Q581" s="97"/>
      <c r="R581" s="97"/>
      <c r="S581" s="97"/>
      <c r="T581" s="97"/>
      <c r="U581" s="97"/>
      <c r="V581" s="97"/>
      <c r="W581" s="97"/>
      <c r="X581" s="97"/>
      <c r="Y581" s="97"/>
      <c r="Z581" s="97"/>
    </row>
    <row r="582" spans="1:26" ht="15" hidden="1">
      <c r="A582" s="97"/>
      <c r="B582" s="97"/>
      <c r="C582" s="97"/>
      <c r="D582" s="97"/>
      <c r="E582" s="97"/>
      <c r="F582" s="97"/>
      <c r="G582" s="97"/>
      <c r="H582" s="97"/>
      <c r="I582" s="97"/>
      <c r="J582" s="97"/>
      <c r="K582" s="97"/>
      <c r="L582" s="97"/>
      <c r="M582" s="97"/>
      <c r="N582" s="97"/>
      <c r="O582" s="97"/>
      <c r="P582" s="97"/>
      <c r="Q582" s="97"/>
      <c r="R582" s="97"/>
      <c r="S582" s="97"/>
      <c r="T582" s="97"/>
      <c r="U582" s="97"/>
      <c r="V582" s="97"/>
      <c r="W582" s="97"/>
      <c r="X582" s="97"/>
      <c r="Y582" s="97"/>
      <c r="Z582" s="97"/>
    </row>
    <row r="583" spans="1:26" ht="15" hidden="1">
      <c r="A583" s="97"/>
      <c r="B583" s="97"/>
      <c r="C583" s="97"/>
      <c r="D583" s="97"/>
      <c r="E583" s="97"/>
      <c r="F583" s="97"/>
      <c r="G583" s="97"/>
      <c r="H583" s="97"/>
      <c r="I583" s="97"/>
      <c r="J583" s="97"/>
      <c r="K583" s="97"/>
      <c r="L583" s="97"/>
      <c r="M583" s="97"/>
      <c r="N583" s="97"/>
      <c r="O583" s="97"/>
      <c r="P583" s="97"/>
      <c r="Q583" s="97"/>
      <c r="R583" s="97"/>
      <c r="S583" s="97"/>
      <c r="T583" s="97"/>
      <c r="U583" s="97"/>
      <c r="V583" s="97"/>
      <c r="W583" s="97"/>
      <c r="X583" s="97"/>
      <c r="Y583" s="97"/>
      <c r="Z583" s="97"/>
    </row>
    <row r="584" spans="1:26" ht="15" hidden="1">
      <c r="A584" s="97"/>
      <c r="B584" s="97"/>
      <c r="C584" s="97"/>
      <c r="D584" s="97"/>
      <c r="E584" s="97"/>
      <c r="F584" s="97"/>
      <c r="G584" s="97"/>
      <c r="H584" s="97"/>
      <c r="I584" s="97"/>
      <c r="J584" s="97"/>
      <c r="K584" s="97"/>
      <c r="L584" s="97"/>
      <c r="M584" s="97"/>
      <c r="N584" s="97"/>
      <c r="O584" s="97"/>
      <c r="P584" s="97"/>
      <c r="Q584" s="97"/>
      <c r="R584" s="97"/>
      <c r="S584" s="97"/>
      <c r="T584" s="97"/>
      <c r="U584" s="97"/>
      <c r="V584" s="97"/>
      <c r="W584" s="97"/>
      <c r="X584" s="97"/>
      <c r="Y584" s="97"/>
      <c r="Z584" s="97"/>
    </row>
    <row r="585" spans="1:26" ht="15" hidden="1">
      <c r="A585" s="97"/>
      <c r="B585" s="97"/>
      <c r="C585" s="97"/>
      <c r="D585" s="97"/>
      <c r="E585" s="97"/>
      <c r="F585" s="97"/>
      <c r="G585" s="97"/>
      <c r="H585" s="97"/>
      <c r="I585" s="97"/>
      <c r="J585" s="97"/>
      <c r="K585" s="97"/>
      <c r="L585" s="97"/>
      <c r="M585" s="97"/>
      <c r="N585" s="97"/>
      <c r="O585" s="97"/>
      <c r="P585" s="97"/>
      <c r="Q585" s="97"/>
      <c r="R585" s="97"/>
      <c r="S585" s="97"/>
      <c r="T585" s="97"/>
      <c r="U585" s="97"/>
      <c r="V585" s="97"/>
      <c r="W585" s="97"/>
      <c r="X585" s="97"/>
      <c r="Y585" s="97"/>
      <c r="Z585" s="97"/>
    </row>
    <row r="586" spans="1:26" ht="15" hidden="1">
      <c r="A586" s="97"/>
      <c r="B586" s="97"/>
      <c r="C586" s="97"/>
      <c r="D586" s="97"/>
      <c r="E586" s="97"/>
      <c r="F586" s="97"/>
      <c r="G586" s="97"/>
      <c r="H586" s="97"/>
      <c r="I586" s="97"/>
      <c r="J586" s="97"/>
      <c r="K586" s="97"/>
      <c r="L586" s="97"/>
      <c r="M586" s="97"/>
      <c r="N586" s="97"/>
      <c r="O586" s="97"/>
      <c r="P586" s="97"/>
      <c r="Q586" s="97"/>
      <c r="R586" s="97"/>
      <c r="S586" s="97"/>
      <c r="T586" s="97"/>
      <c r="U586" s="97"/>
      <c r="V586" s="97"/>
      <c r="W586" s="97"/>
      <c r="X586" s="97"/>
      <c r="Y586" s="97"/>
      <c r="Z586" s="97"/>
    </row>
    <row r="587" spans="1:26" ht="15" hidden="1">
      <c r="A587" s="97"/>
      <c r="B587" s="97"/>
      <c r="C587" s="97"/>
      <c r="D587" s="97"/>
      <c r="E587" s="97"/>
      <c r="F587" s="97"/>
      <c r="G587" s="97"/>
      <c r="H587" s="97"/>
      <c r="I587" s="97"/>
      <c r="J587" s="97"/>
      <c r="K587" s="97"/>
      <c r="L587" s="97"/>
      <c r="M587" s="97"/>
      <c r="N587" s="97"/>
      <c r="O587" s="97"/>
      <c r="P587" s="97"/>
      <c r="Q587" s="97"/>
      <c r="R587" s="97"/>
      <c r="S587" s="97"/>
      <c r="T587" s="97"/>
      <c r="U587" s="97"/>
      <c r="V587" s="97"/>
      <c r="W587" s="97"/>
      <c r="X587" s="97"/>
      <c r="Y587" s="97"/>
      <c r="Z587" s="97"/>
    </row>
    <row r="588" spans="1:26" ht="15" hidden="1">
      <c r="A588" s="97"/>
      <c r="B588" s="97"/>
      <c r="C588" s="97"/>
      <c r="D588" s="97"/>
      <c r="E588" s="97"/>
      <c r="F588" s="97"/>
      <c r="G588" s="97"/>
      <c r="H588" s="97"/>
      <c r="I588" s="97"/>
      <c r="J588" s="97"/>
      <c r="K588" s="97"/>
      <c r="L588" s="97"/>
      <c r="M588" s="97"/>
      <c r="N588" s="97"/>
      <c r="O588" s="97"/>
      <c r="P588" s="97"/>
      <c r="Q588" s="97"/>
      <c r="R588" s="97"/>
      <c r="S588" s="97"/>
      <c r="T588" s="97"/>
      <c r="U588" s="97"/>
      <c r="V588" s="97"/>
      <c r="W588" s="97"/>
      <c r="X588" s="97"/>
      <c r="Y588" s="97"/>
      <c r="Z588" s="97"/>
    </row>
    <row r="589" spans="1:26" ht="15" hidden="1">
      <c r="A589" s="97"/>
      <c r="B589" s="97"/>
      <c r="C589" s="97"/>
      <c r="D589" s="97"/>
      <c r="E589" s="97"/>
      <c r="F589" s="97"/>
      <c r="G589" s="97"/>
      <c r="H589" s="97"/>
      <c r="I589" s="97"/>
      <c r="J589" s="97"/>
      <c r="K589" s="97"/>
      <c r="L589" s="97"/>
      <c r="M589" s="97"/>
      <c r="N589" s="97"/>
      <c r="O589" s="97"/>
      <c r="P589" s="97"/>
      <c r="Q589" s="97"/>
      <c r="R589" s="97"/>
      <c r="S589" s="97"/>
      <c r="T589" s="97"/>
      <c r="U589" s="97"/>
      <c r="V589" s="97"/>
      <c r="W589" s="97"/>
      <c r="X589" s="97"/>
      <c r="Y589" s="97"/>
      <c r="Z589" s="97"/>
    </row>
    <row r="590" spans="1:26" ht="15" hidden="1">
      <c r="A590" s="97"/>
      <c r="B590" s="97"/>
      <c r="C590" s="97"/>
      <c r="D590" s="97"/>
      <c r="E590" s="97"/>
      <c r="F590" s="97"/>
      <c r="G590" s="97"/>
      <c r="H590" s="97"/>
      <c r="I590" s="97"/>
      <c r="J590" s="97"/>
      <c r="K590" s="97"/>
      <c r="L590" s="97"/>
      <c r="M590" s="97"/>
      <c r="N590" s="97"/>
      <c r="O590" s="97"/>
      <c r="P590" s="97"/>
      <c r="Q590" s="97"/>
      <c r="R590" s="97"/>
      <c r="S590" s="97"/>
      <c r="T590" s="97"/>
      <c r="U590" s="97"/>
      <c r="V590" s="97"/>
      <c r="W590" s="97"/>
      <c r="X590" s="97"/>
      <c r="Y590" s="97"/>
      <c r="Z590" s="97"/>
    </row>
    <row r="591" spans="1:26" ht="15" hidden="1">
      <c r="A591" s="97"/>
      <c r="B591" s="97"/>
      <c r="C591" s="97"/>
      <c r="D591" s="97"/>
      <c r="E591" s="97"/>
      <c r="F591" s="97"/>
      <c r="G591" s="97"/>
      <c r="H591" s="97"/>
      <c r="I591" s="97"/>
      <c r="J591" s="97"/>
      <c r="K591" s="97"/>
      <c r="L591" s="97"/>
      <c r="M591" s="97"/>
      <c r="N591" s="97"/>
      <c r="O591" s="97"/>
      <c r="P591" s="97"/>
      <c r="Q591" s="97"/>
      <c r="R591" s="97"/>
      <c r="S591" s="97"/>
      <c r="T591" s="97"/>
      <c r="U591" s="97"/>
      <c r="V591" s="97"/>
      <c r="W591" s="97"/>
      <c r="X591" s="97"/>
      <c r="Y591" s="97"/>
      <c r="Z591" s="97"/>
    </row>
    <row r="592" spans="1:26" ht="15" hidden="1">
      <c r="A592" s="97"/>
      <c r="B592" s="97"/>
      <c r="C592" s="97"/>
      <c r="D592" s="97"/>
      <c r="E592" s="97"/>
      <c r="F592" s="97"/>
      <c r="G592" s="97"/>
      <c r="H592" s="97"/>
      <c r="I592" s="97"/>
      <c r="J592" s="97"/>
      <c r="K592" s="97"/>
      <c r="L592" s="97"/>
      <c r="M592" s="97"/>
      <c r="N592" s="97"/>
      <c r="O592" s="97"/>
      <c r="P592" s="97"/>
      <c r="Q592" s="97"/>
      <c r="R592" s="97"/>
      <c r="S592" s="97"/>
      <c r="T592" s="97"/>
      <c r="U592" s="97"/>
      <c r="V592" s="97"/>
      <c r="W592" s="97"/>
      <c r="X592" s="97"/>
      <c r="Y592" s="97"/>
      <c r="Z592" s="97"/>
    </row>
    <row r="593" spans="1:26" ht="15" hidden="1">
      <c r="A593" s="97"/>
      <c r="B593" s="97"/>
      <c r="C593" s="97"/>
      <c r="D593" s="97"/>
      <c r="E593" s="97"/>
      <c r="F593" s="97"/>
      <c r="G593" s="97"/>
      <c r="H593" s="97"/>
      <c r="I593" s="97"/>
      <c r="J593" s="97"/>
      <c r="K593" s="97"/>
      <c r="L593" s="97"/>
      <c r="M593" s="97"/>
      <c r="N593" s="97"/>
      <c r="O593" s="97"/>
      <c r="P593" s="97"/>
      <c r="Q593" s="97"/>
      <c r="R593" s="97"/>
      <c r="S593" s="97"/>
      <c r="T593" s="97"/>
      <c r="U593" s="97"/>
      <c r="V593" s="97"/>
      <c r="W593" s="97"/>
      <c r="X593" s="97"/>
      <c r="Y593" s="97"/>
      <c r="Z593" s="97"/>
    </row>
    <row r="594" spans="1:26" ht="15" hidden="1">
      <c r="A594" s="97"/>
      <c r="B594" s="97"/>
      <c r="C594" s="97"/>
      <c r="D594" s="97"/>
      <c r="E594" s="97"/>
      <c r="F594" s="97"/>
      <c r="G594" s="97"/>
      <c r="H594" s="97"/>
      <c r="I594" s="97"/>
      <c r="J594" s="97"/>
      <c r="K594" s="97"/>
      <c r="L594" s="97"/>
      <c r="M594" s="97"/>
      <c r="N594" s="97"/>
      <c r="O594" s="97"/>
      <c r="P594" s="97"/>
      <c r="Q594" s="97"/>
      <c r="R594" s="97"/>
      <c r="S594" s="97"/>
      <c r="T594" s="97"/>
      <c r="U594" s="97"/>
      <c r="V594" s="97"/>
      <c r="W594" s="97"/>
      <c r="X594" s="97"/>
      <c r="Y594" s="97"/>
      <c r="Z594" s="97"/>
    </row>
    <row r="595" spans="1:26" ht="15" hidden="1">
      <c r="A595" s="97"/>
      <c r="B595" s="97"/>
      <c r="C595" s="97"/>
      <c r="D595" s="97"/>
      <c r="E595" s="97"/>
      <c r="F595" s="97"/>
      <c r="G595" s="97"/>
      <c r="H595" s="97"/>
      <c r="I595" s="97"/>
      <c r="J595" s="97"/>
      <c r="K595" s="97"/>
      <c r="L595" s="97"/>
      <c r="M595" s="97"/>
      <c r="N595" s="97"/>
      <c r="O595" s="97"/>
      <c r="P595" s="97"/>
      <c r="Q595" s="97"/>
      <c r="R595" s="97"/>
      <c r="S595" s="97"/>
      <c r="T595" s="97"/>
      <c r="U595" s="97"/>
      <c r="V595" s="97"/>
      <c r="W595" s="97"/>
      <c r="X595" s="97"/>
      <c r="Y595" s="97"/>
      <c r="Z595" s="97"/>
    </row>
    <row r="596" spans="1:26" ht="15" hidden="1">
      <c r="A596" s="97"/>
      <c r="B596" s="97"/>
      <c r="C596" s="97"/>
      <c r="D596" s="97"/>
      <c r="E596" s="97"/>
      <c r="F596" s="97"/>
      <c r="G596" s="97"/>
      <c r="H596" s="97"/>
      <c r="I596" s="97"/>
      <c r="J596" s="97"/>
      <c r="K596" s="97"/>
      <c r="L596" s="97"/>
      <c r="M596" s="97"/>
      <c r="N596" s="97"/>
      <c r="O596" s="97"/>
      <c r="P596" s="97"/>
      <c r="Q596" s="97"/>
      <c r="R596" s="97"/>
      <c r="S596" s="97"/>
      <c r="T596" s="97"/>
      <c r="U596" s="97"/>
      <c r="V596" s="97"/>
      <c r="W596" s="97"/>
      <c r="X596" s="97"/>
      <c r="Y596" s="97"/>
      <c r="Z596" s="97"/>
    </row>
    <row r="597" spans="1:26" ht="15" hidden="1">
      <c r="A597" s="97"/>
      <c r="B597" s="97"/>
      <c r="C597" s="97"/>
      <c r="D597" s="97"/>
      <c r="E597" s="97"/>
      <c r="F597" s="97"/>
      <c r="G597" s="97"/>
      <c r="H597" s="97"/>
      <c r="I597" s="97"/>
      <c r="J597" s="97"/>
      <c r="K597" s="97"/>
      <c r="L597" s="97"/>
      <c r="M597" s="97"/>
      <c r="N597" s="97"/>
      <c r="O597" s="97"/>
      <c r="P597" s="97"/>
      <c r="Q597" s="97"/>
      <c r="R597" s="97"/>
      <c r="S597" s="97"/>
      <c r="T597" s="97"/>
      <c r="U597" s="97"/>
      <c r="V597" s="97"/>
      <c r="W597" s="97"/>
      <c r="X597" s="97"/>
      <c r="Y597" s="97"/>
      <c r="Z597" s="97"/>
    </row>
    <row r="598" spans="1:26" ht="15" hidden="1">
      <c r="A598" s="97"/>
      <c r="B598" s="97"/>
      <c r="C598" s="97"/>
      <c r="D598" s="97"/>
      <c r="E598" s="97"/>
      <c r="F598" s="97"/>
      <c r="G598" s="97"/>
      <c r="H598" s="97"/>
      <c r="I598" s="97"/>
      <c r="J598" s="97"/>
      <c r="K598" s="97"/>
      <c r="L598" s="97"/>
      <c r="M598" s="97"/>
      <c r="N598" s="97"/>
      <c r="O598" s="97"/>
      <c r="P598" s="97"/>
      <c r="Q598" s="97"/>
      <c r="R598" s="97"/>
      <c r="S598" s="97"/>
      <c r="T598" s="97"/>
      <c r="U598" s="97"/>
      <c r="V598" s="97"/>
      <c r="W598" s="97"/>
      <c r="X598" s="97"/>
      <c r="Y598" s="97"/>
      <c r="Z598" s="97"/>
    </row>
    <row r="599" spans="1:26" ht="15" hidden="1">
      <c r="A599" s="97"/>
      <c r="B599" s="97"/>
      <c r="C599" s="97"/>
      <c r="D599" s="97"/>
      <c r="E599" s="97"/>
      <c r="F599" s="97"/>
      <c r="G599" s="97"/>
      <c r="H599" s="97"/>
      <c r="I599" s="97"/>
      <c r="J599" s="97"/>
      <c r="K599" s="97"/>
      <c r="L599" s="97"/>
      <c r="M599" s="97"/>
      <c r="N599" s="97"/>
      <c r="O599" s="97"/>
      <c r="P599" s="97"/>
      <c r="Q599" s="97"/>
      <c r="R599" s="97"/>
      <c r="S599" s="97"/>
      <c r="T599" s="97"/>
      <c r="U599" s="97"/>
      <c r="V599" s="97"/>
      <c r="W599" s="97"/>
      <c r="X599" s="97"/>
      <c r="Y599" s="97"/>
      <c r="Z599" s="97"/>
    </row>
    <row r="600" spans="1:26" ht="15" hidden="1">
      <c r="A600" s="97"/>
      <c r="B600" s="97"/>
      <c r="C600" s="97"/>
      <c r="D600" s="97"/>
      <c r="E600" s="97"/>
      <c r="F600" s="97"/>
      <c r="G600" s="97"/>
      <c r="H600" s="97"/>
      <c r="I600" s="97"/>
      <c r="J600" s="97"/>
      <c r="K600" s="97"/>
      <c r="L600" s="97"/>
      <c r="M600" s="97"/>
      <c r="N600" s="97"/>
      <c r="O600" s="97"/>
      <c r="P600" s="97"/>
      <c r="Q600" s="97"/>
      <c r="R600" s="97"/>
      <c r="S600" s="97"/>
      <c r="T600" s="97"/>
      <c r="U600" s="97"/>
      <c r="V600" s="97"/>
      <c r="W600" s="97"/>
      <c r="X600" s="97"/>
      <c r="Y600" s="97"/>
      <c r="Z600" s="97"/>
    </row>
    <row r="601" spans="1:26" ht="15" hidden="1">
      <c r="A601" s="97"/>
      <c r="B601" s="97"/>
      <c r="C601" s="97"/>
      <c r="D601" s="97"/>
      <c r="E601" s="97"/>
      <c r="F601" s="97"/>
      <c r="G601" s="97"/>
      <c r="H601" s="97"/>
      <c r="I601" s="97"/>
      <c r="J601" s="97"/>
      <c r="K601" s="97"/>
      <c r="L601" s="97"/>
      <c r="M601" s="97"/>
      <c r="N601" s="97"/>
      <c r="O601" s="97"/>
      <c r="P601" s="97"/>
      <c r="Q601" s="97"/>
      <c r="R601" s="97"/>
      <c r="S601" s="97"/>
      <c r="T601" s="97"/>
      <c r="U601" s="97"/>
      <c r="V601" s="97"/>
      <c r="W601" s="97"/>
      <c r="X601" s="97"/>
      <c r="Y601" s="97"/>
      <c r="Z601" s="97"/>
    </row>
    <row r="602" spans="1:26" ht="15" hidden="1">
      <c r="A602" s="97"/>
      <c r="B602" s="97"/>
      <c r="C602" s="97"/>
      <c r="D602" s="97"/>
      <c r="E602" s="97"/>
      <c r="F602" s="97"/>
      <c r="G602" s="97"/>
      <c r="H602" s="97"/>
      <c r="I602" s="97"/>
      <c r="J602" s="97"/>
      <c r="K602" s="97"/>
      <c r="L602" s="97"/>
      <c r="M602" s="97"/>
      <c r="N602" s="97"/>
      <c r="O602" s="97"/>
      <c r="P602" s="97"/>
      <c r="Q602" s="97"/>
      <c r="R602" s="97"/>
      <c r="S602" s="97"/>
      <c r="T602" s="97"/>
      <c r="U602" s="97"/>
      <c r="V602" s="97"/>
      <c r="W602" s="97"/>
      <c r="X602" s="97"/>
      <c r="Y602" s="97"/>
      <c r="Z602" s="97"/>
    </row>
    <row r="603" spans="1:26" ht="15" hidden="1">
      <c r="A603" s="97"/>
      <c r="B603" s="97"/>
      <c r="C603" s="97"/>
      <c r="D603" s="97"/>
      <c r="E603" s="97"/>
      <c r="F603" s="97"/>
      <c r="G603" s="97"/>
      <c r="H603" s="97"/>
      <c r="I603" s="97"/>
      <c r="J603" s="97"/>
      <c r="K603" s="97"/>
      <c r="L603" s="97"/>
      <c r="M603" s="97"/>
      <c r="N603" s="97"/>
      <c r="O603" s="97"/>
      <c r="P603" s="97"/>
      <c r="Q603" s="97"/>
      <c r="R603" s="97"/>
      <c r="S603" s="97"/>
      <c r="T603" s="97"/>
      <c r="U603" s="97"/>
      <c r="V603" s="97"/>
      <c r="W603" s="97"/>
      <c r="X603" s="97"/>
      <c r="Y603" s="97"/>
      <c r="Z603" s="97"/>
    </row>
    <row r="604" spans="1:26" ht="15" hidden="1">
      <c r="A604" s="97"/>
      <c r="B604" s="97"/>
      <c r="C604" s="97"/>
      <c r="D604" s="97"/>
      <c r="E604" s="97"/>
      <c r="F604" s="97"/>
      <c r="G604" s="97"/>
      <c r="H604" s="97"/>
      <c r="I604" s="97"/>
      <c r="J604" s="97"/>
      <c r="K604" s="97"/>
      <c r="L604" s="97"/>
      <c r="M604" s="97"/>
      <c r="N604" s="97"/>
      <c r="O604" s="97"/>
      <c r="P604" s="97"/>
      <c r="Q604" s="97"/>
      <c r="R604" s="97"/>
      <c r="S604" s="97"/>
      <c r="T604" s="97"/>
      <c r="U604" s="97"/>
      <c r="V604" s="97"/>
      <c r="W604" s="97"/>
      <c r="X604" s="97"/>
      <c r="Y604" s="97"/>
      <c r="Z604" s="97"/>
    </row>
    <row r="605" spans="1:26" ht="15" hidden="1">
      <c r="A605" s="97"/>
      <c r="B605" s="97"/>
      <c r="C605" s="97"/>
      <c r="D605" s="97"/>
      <c r="E605" s="97"/>
      <c r="F605" s="97"/>
      <c r="G605" s="97"/>
      <c r="H605" s="97"/>
      <c r="I605" s="97"/>
      <c r="J605" s="97"/>
      <c r="K605" s="97"/>
      <c r="L605" s="97"/>
      <c r="M605" s="97"/>
      <c r="N605" s="97"/>
      <c r="O605" s="97"/>
      <c r="P605" s="97"/>
      <c r="Q605" s="97"/>
      <c r="R605" s="97"/>
      <c r="S605" s="97"/>
      <c r="T605" s="97"/>
      <c r="U605" s="97"/>
      <c r="V605" s="97"/>
      <c r="W605" s="97"/>
      <c r="X605" s="97"/>
      <c r="Y605" s="97"/>
      <c r="Z605" s="97"/>
    </row>
    <row r="606" spans="1:26" ht="15" hidden="1">
      <c r="A606" s="97"/>
      <c r="B606" s="97"/>
      <c r="C606" s="97"/>
      <c r="D606" s="97"/>
      <c r="E606" s="97"/>
      <c r="F606" s="97"/>
      <c r="G606" s="97"/>
      <c r="H606" s="97"/>
      <c r="I606" s="97"/>
      <c r="J606" s="97"/>
      <c r="K606" s="97"/>
      <c r="L606" s="97"/>
      <c r="M606" s="97"/>
      <c r="N606" s="97"/>
      <c r="O606" s="97"/>
      <c r="P606" s="97"/>
      <c r="Q606" s="97"/>
      <c r="R606" s="97"/>
      <c r="S606" s="97"/>
      <c r="T606" s="97"/>
      <c r="U606" s="97"/>
      <c r="V606" s="97"/>
      <c r="W606" s="97"/>
      <c r="X606" s="97"/>
      <c r="Y606" s="97"/>
      <c r="Z606" s="97"/>
    </row>
    <row r="607" spans="1:26" ht="15" hidden="1">
      <c r="A607" s="97"/>
      <c r="B607" s="97"/>
      <c r="C607" s="97"/>
      <c r="D607" s="97"/>
      <c r="E607" s="97"/>
      <c r="F607" s="97"/>
      <c r="G607" s="97"/>
      <c r="H607" s="97"/>
      <c r="I607" s="97"/>
      <c r="J607" s="97"/>
      <c r="K607" s="97"/>
      <c r="L607" s="97"/>
      <c r="M607" s="97"/>
      <c r="N607" s="97"/>
      <c r="O607" s="97"/>
      <c r="P607" s="97"/>
      <c r="Q607" s="97"/>
      <c r="R607" s="97"/>
      <c r="S607" s="97"/>
      <c r="T607" s="97"/>
      <c r="U607" s="97"/>
      <c r="V607" s="97"/>
      <c r="W607" s="97"/>
      <c r="X607" s="97"/>
      <c r="Y607" s="97"/>
      <c r="Z607" s="97"/>
    </row>
    <row r="608" spans="1:26" ht="15" hidden="1">
      <c r="A608" s="97"/>
      <c r="B608" s="97"/>
      <c r="C608" s="97"/>
      <c r="D608" s="97"/>
      <c r="E608" s="97"/>
      <c r="F608" s="97"/>
      <c r="G608" s="97"/>
      <c r="H608" s="97"/>
      <c r="I608" s="97"/>
      <c r="J608" s="97"/>
      <c r="K608" s="97"/>
      <c r="L608" s="97"/>
      <c r="M608" s="97"/>
      <c r="N608" s="97"/>
      <c r="O608" s="97"/>
      <c r="P608" s="97"/>
      <c r="Q608" s="97"/>
      <c r="R608" s="97"/>
      <c r="S608" s="97"/>
      <c r="T608" s="97"/>
      <c r="U608" s="97"/>
      <c r="V608" s="97"/>
      <c r="W608" s="97"/>
      <c r="X608" s="97"/>
      <c r="Y608" s="97"/>
      <c r="Z608" s="97"/>
    </row>
    <row r="609" spans="1:26" ht="15" hidden="1">
      <c r="A609" s="97"/>
      <c r="B609" s="97"/>
      <c r="C609" s="97"/>
      <c r="D609" s="97"/>
      <c r="E609" s="97"/>
      <c r="F609" s="97"/>
      <c r="G609" s="97"/>
      <c r="H609" s="97"/>
      <c r="I609" s="97"/>
      <c r="J609" s="97"/>
      <c r="K609" s="97"/>
      <c r="L609" s="97"/>
      <c r="M609" s="97"/>
      <c r="N609" s="97"/>
      <c r="O609" s="97"/>
      <c r="P609" s="97"/>
      <c r="Q609" s="97"/>
      <c r="R609" s="97"/>
      <c r="S609" s="97"/>
      <c r="T609" s="97"/>
      <c r="U609" s="97"/>
      <c r="V609" s="97"/>
      <c r="W609" s="97"/>
      <c r="X609" s="97"/>
      <c r="Y609" s="97"/>
      <c r="Z609" s="97"/>
    </row>
    <row r="610" spans="1:26" ht="15" hidden="1">
      <c r="A610" s="97"/>
      <c r="B610" s="97"/>
      <c r="C610" s="97"/>
      <c r="D610" s="97"/>
      <c r="E610" s="97"/>
      <c r="F610" s="97"/>
      <c r="G610" s="97"/>
      <c r="H610" s="97"/>
      <c r="I610" s="97"/>
      <c r="J610" s="97"/>
      <c r="K610" s="97"/>
      <c r="L610" s="97"/>
      <c r="M610" s="97"/>
      <c r="N610" s="97"/>
      <c r="O610" s="97"/>
      <c r="P610" s="97"/>
      <c r="Q610" s="97"/>
      <c r="R610" s="97"/>
      <c r="S610" s="97"/>
      <c r="T610" s="97"/>
      <c r="U610" s="97"/>
      <c r="V610" s="97"/>
      <c r="W610" s="97"/>
      <c r="X610" s="97"/>
      <c r="Y610" s="97"/>
      <c r="Z610" s="97"/>
    </row>
    <row r="611" spans="1:26" ht="15" hidden="1">
      <c r="A611" s="97"/>
      <c r="B611" s="97"/>
      <c r="C611" s="97"/>
      <c r="D611" s="97"/>
      <c r="E611" s="97"/>
      <c r="F611" s="97"/>
      <c r="G611" s="97"/>
      <c r="H611" s="97"/>
      <c r="I611" s="97"/>
      <c r="J611" s="97"/>
      <c r="K611" s="97"/>
      <c r="L611" s="97"/>
      <c r="M611" s="97"/>
      <c r="N611" s="97"/>
      <c r="O611" s="97"/>
      <c r="P611" s="97"/>
      <c r="Q611" s="97"/>
      <c r="R611" s="97"/>
      <c r="S611" s="97"/>
      <c r="T611" s="97"/>
      <c r="U611" s="97"/>
      <c r="V611" s="97"/>
      <c r="W611" s="97"/>
      <c r="X611" s="97"/>
      <c r="Y611" s="97"/>
      <c r="Z611" s="97"/>
    </row>
    <row r="612" spans="1:26" ht="15" hidden="1">
      <c r="A612" s="97"/>
      <c r="B612" s="97"/>
      <c r="C612" s="97"/>
      <c r="D612" s="97"/>
      <c r="E612" s="97"/>
      <c r="F612" s="97"/>
      <c r="G612" s="97"/>
      <c r="H612" s="97"/>
      <c r="I612" s="97"/>
      <c r="J612" s="97"/>
      <c r="K612" s="97"/>
      <c r="L612" s="97"/>
      <c r="M612" s="97"/>
      <c r="N612" s="97"/>
      <c r="O612" s="97"/>
      <c r="P612" s="97"/>
      <c r="Q612" s="97"/>
      <c r="R612" s="97"/>
      <c r="S612" s="97"/>
      <c r="T612" s="97"/>
      <c r="U612" s="97"/>
      <c r="V612" s="97"/>
      <c r="W612" s="97"/>
      <c r="X612" s="97"/>
      <c r="Y612" s="97"/>
      <c r="Z612" s="97"/>
    </row>
    <row r="613" spans="1:26" ht="15" hidden="1">
      <c r="A613" s="97"/>
      <c r="B613" s="97"/>
      <c r="C613" s="97"/>
      <c r="D613" s="97"/>
      <c r="E613" s="97"/>
      <c r="F613" s="97"/>
      <c r="G613" s="97"/>
      <c r="H613" s="97"/>
      <c r="I613" s="97"/>
      <c r="J613" s="97"/>
      <c r="K613" s="97"/>
      <c r="L613" s="97"/>
      <c r="M613" s="97"/>
      <c r="N613" s="97"/>
      <c r="O613" s="97"/>
      <c r="P613" s="97"/>
      <c r="Q613" s="97"/>
      <c r="R613" s="97"/>
      <c r="S613" s="97"/>
      <c r="T613" s="97"/>
      <c r="U613" s="97"/>
      <c r="V613" s="97"/>
      <c r="W613" s="97"/>
      <c r="X613" s="97"/>
      <c r="Y613" s="97"/>
      <c r="Z613" s="97"/>
    </row>
    <row r="614" spans="1:26" ht="15" hidden="1">
      <c r="A614" s="97"/>
      <c r="B614" s="97"/>
      <c r="C614" s="97"/>
      <c r="D614" s="97"/>
      <c r="E614" s="97"/>
      <c r="F614" s="97"/>
      <c r="G614" s="97"/>
      <c r="H614" s="97"/>
      <c r="I614" s="97"/>
      <c r="J614" s="97"/>
      <c r="K614" s="97"/>
      <c r="L614" s="97"/>
      <c r="M614" s="97"/>
      <c r="N614" s="97"/>
      <c r="O614" s="97"/>
      <c r="P614" s="97"/>
      <c r="Q614" s="97"/>
      <c r="R614" s="97"/>
      <c r="S614" s="97"/>
      <c r="T614" s="97"/>
      <c r="U614" s="97"/>
      <c r="V614" s="97"/>
      <c r="W614" s="97"/>
      <c r="X614" s="97"/>
      <c r="Y614" s="97"/>
      <c r="Z614" s="97"/>
    </row>
    <row r="615" spans="1:26" ht="15" hidden="1">
      <c r="A615" s="97"/>
      <c r="B615" s="97"/>
      <c r="C615" s="97"/>
      <c r="D615" s="97"/>
      <c r="E615" s="97"/>
      <c r="F615" s="97"/>
      <c r="G615" s="97"/>
      <c r="H615" s="97"/>
      <c r="I615" s="97"/>
      <c r="J615" s="97"/>
      <c r="K615" s="97"/>
      <c r="L615" s="97"/>
      <c r="M615" s="97"/>
      <c r="N615" s="97"/>
      <c r="O615" s="97"/>
      <c r="P615" s="97"/>
      <c r="Q615" s="97"/>
      <c r="R615" s="97"/>
      <c r="S615" s="97"/>
      <c r="T615" s="97"/>
      <c r="U615" s="97"/>
      <c r="V615" s="97"/>
      <c r="W615" s="97"/>
      <c r="X615" s="97"/>
      <c r="Y615" s="97"/>
      <c r="Z615" s="97"/>
    </row>
    <row r="616" spans="1:26" ht="15" hidden="1">
      <c r="A616" s="97"/>
      <c r="B616" s="97"/>
      <c r="C616" s="97"/>
      <c r="D616" s="97"/>
      <c r="E616" s="97"/>
      <c r="F616" s="97"/>
      <c r="G616" s="97"/>
      <c r="H616" s="97"/>
      <c r="I616" s="97"/>
      <c r="J616" s="97"/>
      <c r="K616" s="97"/>
      <c r="L616" s="97"/>
      <c r="M616" s="97"/>
      <c r="N616" s="97"/>
      <c r="O616" s="97"/>
      <c r="P616" s="97"/>
      <c r="Q616" s="97"/>
      <c r="R616" s="97"/>
      <c r="S616" s="97"/>
      <c r="T616" s="97"/>
      <c r="U616" s="97"/>
      <c r="V616" s="97"/>
      <c r="W616" s="97"/>
      <c r="X616" s="97"/>
      <c r="Y616" s="97"/>
      <c r="Z616" s="97"/>
    </row>
    <row r="617" spans="1:26" ht="15" hidden="1">
      <c r="A617" s="97"/>
      <c r="B617" s="97"/>
      <c r="C617" s="97"/>
      <c r="D617" s="97"/>
      <c r="E617" s="97"/>
      <c r="F617" s="97"/>
      <c r="G617" s="97"/>
      <c r="H617" s="97"/>
      <c r="I617" s="97"/>
      <c r="J617" s="97"/>
      <c r="K617" s="97"/>
      <c r="L617" s="97"/>
      <c r="M617" s="97"/>
      <c r="N617" s="97"/>
      <c r="O617" s="97"/>
      <c r="P617" s="97"/>
      <c r="Q617" s="97"/>
      <c r="R617" s="97"/>
      <c r="S617" s="97"/>
      <c r="T617" s="97"/>
      <c r="U617" s="97"/>
      <c r="V617" s="97"/>
      <c r="W617" s="97"/>
      <c r="X617" s="97"/>
      <c r="Y617" s="97"/>
      <c r="Z617" s="97"/>
    </row>
    <row r="618" spans="1:26" ht="15" hidden="1">
      <c r="A618" s="97"/>
      <c r="B618" s="97"/>
      <c r="C618" s="97"/>
      <c r="D618" s="97"/>
      <c r="E618" s="97"/>
      <c r="F618" s="97"/>
      <c r="G618" s="97"/>
      <c r="H618" s="97"/>
      <c r="I618" s="97"/>
      <c r="J618" s="97"/>
      <c r="K618" s="97"/>
      <c r="L618" s="97"/>
      <c r="M618" s="97"/>
      <c r="N618" s="97"/>
      <c r="O618" s="97"/>
      <c r="P618" s="97"/>
      <c r="Q618" s="97"/>
      <c r="R618" s="97"/>
      <c r="S618" s="97"/>
      <c r="T618" s="97"/>
      <c r="U618" s="97"/>
      <c r="V618" s="97"/>
      <c r="W618" s="97"/>
      <c r="X618" s="97"/>
      <c r="Y618" s="97"/>
      <c r="Z618" s="97"/>
    </row>
    <row r="619" spans="1:26" ht="15" hidden="1">
      <c r="A619" s="97"/>
      <c r="B619" s="97"/>
      <c r="C619" s="97"/>
      <c r="D619" s="97"/>
      <c r="E619" s="97"/>
      <c r="F619" s="97"/>
      <c r="G619" s="97"/>
      <c r="H619" s="97"/>
      <c r="I619" s="97"/>
      <c r="J619" s="97"/>
      <c r="K619" s="97"/>
      <c r="L619" s="97"/>
      <c r="M619" s="97"/>
      <c r="N619" s="97"/>
      <c r="O619" s="97"/>
      <c r="P619" s="97"/>
      <c r="Q619" s="97"/>
      <c r="R619" s="97"/>
      <c r="S619" s="97"/>
      <c r="T619" s="97"/>
      <c r="U619" s="97"/>
      <c r="V619" s="97"/>
      <c r="W619" s="97"/>
      <c r="X619" s="97"/>
      <c r="Y619" s="97"/>
      <c r="Z619" s="97"/>
    </row>
    <row r="620" spans="1:26" ht="15" hidden="1">
      <c r="A620" s="97"/>
      <c r="B620" s="97"/>
      <c r="C620" s="97"/>
      <c r="D620" s="97"/>
      <c r="E620" s="97"/>
      <c r="F620" s="97"/>
      <c r="G620" s="97"/>
      <c r="H620" s="97"/>
      <c r="I620" s="97"/>
      <c r="J620" s="97"/>
      <c r="K620" s="97"/>
      <c r="L620" s="97"/>
      <c r="M620" s="97"/>
      <c r="N620" s="97"/>
      <c r="O620" s="97"/>
      <c r="P620" s="97"/>
      <c r="Q620" s="97"/>
      <c r="R620" s="97"/>
      <c r="S620" s="97"/>
      <c r="T620" s="97"/>
      <c r="U620" s="97"/>
      <c r="V620" s="97"/>
      <c r="W620" s="97"/>
      <c r="X620" s="97"/>
      <c r="Y620" s="97"/>
      <c r="Z620" s="97"/>
    </row>
    <row r="621" spans="1:26" ht="15" hidden="1">
      <c r="A621" s="97"/>
      <c r="B621" s="97"/>
      <c r="C621" s="97"/>
      <c r="D621" s="97"/>
      <c r="E621" s="97"/>
      <c r="F621" s="97"/>
      <c r="G621" s="97"/>
      <c r="H621" s="97"/>
      <c r="I621" s="97"/>
      <c r="J621" s="97"/>
      <c r="K621" s="97"/>
      <c r="L621" s="97"/>
      <c r="M621" s="97"/>
      <c r="N621" s="97"/>
      <c r="O621" s="97"/>
      <c r="P621" s="97"/>
      <c r="Q621" s="97"/>
      <c r="R621" s="97"/>
      <c r="S621" s="97"/>
      <c r="T621" s="97"/>
      <c r="U621" s="97"/>
      <c r="V621" s="97"/>
      <c r="W621" s="97"/>
      <c r="X621" s="97"/>
      <c r="Y621" s="97"/>
      <c r="Z621" s="97"/>
    </row>
    <row r="622" spans="1:26" ht="15" hidden="1">
      <c r="A622" s="97"/>
      <c r="B622" s="97"/>
      <c r="C622" s="97"/>
      <c r="D622" s="97"/>
      <c r="E622" s="97"/>
      <c r="F622" s="97"/>
      <c r="G622" s="97"/>
      <c r="H622" s="97"/>
      <c r="I622" s="97"/>
      <c r="J622" s="97"/>
      <c r="K622" s="97"/>
      <c r="L622" s="97"/>
      <c r="M622" s="97"/>
      <c r="N622" s="97"/>
      <c r="O622" s="97"/>
      <c r="P622" s="97"/>
      <c r="Q622" s="97"/>
      <c r="R622" s="97"/>
      <c r="S622" s="97"/>
      <c r="T622" s="97"/>
      <c r="U622" s="97"/>
      <c r="V622" s="97"/>
      <c r="W622" s="97"/>
      <c r="X622" s="97"/>
      <c r="Y622" s="97"/>
      <c r="Z622" s="97"/>
    </row>
    <row r="623" spans="1:26" ht="15" hidden="1">
      <c r="A623" s="97"/>
      <c r="B623" s="97"/>
      <c r="C623" s="97"/>
      <c r="D623" s="97"/>
      <c r="E623" s="97"/>
      <c r="F623" s="97"/>
      <c r="G623" s="97"/>
      <c r="H623" s="97"/>
      <c r="I623" s="97"/>
      <c r="J623" s="97"/>
      <c r="K623" s="97"/>
      <c r="L623" s="97"/>
      <c r="M623" s="97"/>
      <c r="N623" s="97"/>
      <c r="O623" s="97"/>
      <c r="P623" s="97"/>
      <c r="Q623" s="97"/>
      <c r="R623" s="97"/>
      <c r="S623" s="97"/>
      <c r="T623" s="97"/>
      <c r="U623" s="97"/>
      <c r="V623" s="97"/>
      <c r="W623" s="97"/>
      <c r="X623" s="97"/>
      <c r="Y623" s="97"/>
      <c r="Z623" s="97"/>
    </row>
    <row r="624" spans="1:26" ht="15" hidden="1">
      <c r="A624" s="97"/>
      <c r="B624" s="97"/>
      <c r="C624" s="97"/>
      <c r="D624" s="97"/>
      <c r="E624" s="97"/>
      <c r="F624" s="97"/>
      <c r="G624" s="97"/>
      <c r="H624" s="97"/>
      <c r="I624" s="97"/>
      <c r="J624" s="97"/>
      <c r="K624" s="97"/>
      <c r="L624" s="97"/>
      <c r="M624" s="97"/>
      <c r="N624" s="97"/>
      <c r="O624" s="97"/>
      <c r="P624" s="97"/>
      <c r="Q624" s="97"/>
      <c r="R624" s="97"/>
      <c r="S624" s="97"/>
      <c r="T624" s="97"/>
      <c r="U624" s="97"/>
      <c r="V624" s="97"/>
      <c r="W624" s="97"/>
      <c r="X624" s="97"/>
      <c r="Y624" s="97"/>
      <c r="Z624" s="97"/>
    </row>
    <row r="625" spans="1:26" ht="15" hidden="1">
      <c r="A625" s="97"/>
      <c r="B625" s="97"/>
      <c r="C625" s="97"/>
      <c r="D625" s="97"/>
      <c r="E625" s="97"/>
      <c r="F625" s="97"/>
      <c r="G625" s="97"/>
      <c r="H625" s="97"/>
      <c r="I625" s="97"/>
      <c r="J625" s="97"/>
      <c r="K625" s="97"/>
      <c r="L625" s="97"/>
      <c r="M625" s="97"/>
      <c r="N625" s="97"/>
      <c r="O625" s="97"/>
      <c r="P625" s="97"/>
      <c r="Q625" s="97"/>
      <c r="R625" s="97"/>
      <c r="S625" s="97"/>
      <c r="T625" s="97"/>
      <c r="U625" s="97"/>
      <c r="V625" s="97"/>
      <c r="W625" s="97"/>
      <c r="X625" s="97"/>
      <c r="Y625" s="97"/>
      <c r="Z625" s="97"/>
    </row>
    <row r="626" spans="1:26" ht="15" hidden="1">
      <c r="A626" s="97"/>
      <c r="B626" s="97"/>
      <c r="C626" s="97"/>
      <c r="D626" s="97"/>
      <c r="E626" s="97"/>
      <c r="F626" s="97"/>
      <c r="G626" s="97"/>
      <c r="H626" s="97"/>
      <c r="I626" s="97"/>
      <c r="J626" s="97"/>
      <c r="K626" s="97"/>
      <c r="L626" s="97"/>
      <c r="M626" s="97"/>
      <c r="N626" s="97"/>
      <c r="O626" s="97"/>
      <c r="P626" s="97"/>
      <c r="Q626" s="97"/>
      <c r="R626" s="97"/>
      <c r="S626" s="97"/>
      <c r="T626" s="97"/>
      <c r="U626" s="97"/>
      <c r="V626" s="97"/>
      <c r="W626" s="97"/>
      <c r="X626" s="97"/>
      <c r="Y626" s="97"/>
      <c r="Z626" s="97"/>
    </row>
    <row r="627" spans="1:26" ht="15" hidden="1">
      <c r="A627" s="97"/>
      <c r="B627" s="97"/>
      <c r="C627" s="97"/>
      <c r="D627" s="97"/>
      <c r="E627" s="97"/>
      <c r="F627" s="97"/>
      <c r="G627" s="97"/>
      <c r="H627" s="97"/>
      <c r="I627" s="97"/>
      <c r="J627" s="97"/>
      <c r="K627" s="97"/>
      <c r="L627" s="97"/>
      <c r="M627" s="97"/>
      <c r="N627" s="97"/>
      <c r="O627" s="97"/>
      <c r="P627" s="97"/>
      <c r="Q627" s="97"/>
      <c r="R627" s="97"/>
      <c r="S627" s="97"/>
      <c r="T627" s="97"/>
      <c r="U627" s="97"/>
      <c r="V627" s="97"/>
      <c r="W627" s="97"/>
      <c r="X627" s="97"/>
      <c r="Y627" s="97"/>
      <c r="Z627" s="97"/>
    </row>
    <row r="628" spans="1:26" ht="15" hidden="1">
      <c r="A628" s="97"/>
      <c r="B628" s="97"/>
      <c r="C628" s="97"/>
      <c r="D628" s="97"/>
      <c r="E628" s="97"/>
      <c r="F628" s="97"/>
      <c r="G628" s="97"/>
      <c r="H628" s="97"/>
      <c r="I628" s="97"/>
      <c r="J628" s="97"/>
      <c r="K628" s="97"/>
      <c r="L628" s="97"/>
      <c r="M628" s="97"/>
      <c r="N628" s="97"/>
      <c r="O628" s="97"/>
      <c r="P628" s="97"/>
      <c r="Q628" s="97"/>
      <c r="R628" s="97"/>
      <c r="S628" s="97"/>
      <c r="T628" s="97"/>
      <c r="U628" s="97"/>
      <c r="V628" s="97"/>
      <c r="W628" s="97"/>
      <c r="X628" s="97"/>
      <c r="Y628" s="97"/>
      <c r="Z628" s="97"/>
    </row>
    <row r="629" spans="1:26" ht="15" hidden="1">
      <c r="A629" s="97"/>
      <c r="B629" s="97"/>
      <c r="C629" s="97"/>
      <c r="D629" s="97"/>
      <c r="E629" s="97"/>
      <c r="F629" s="97"/>
      <c r="G629" s="97"/>
      <c r="H629" s="97"/>
      <c r="I629" s="97"/>
      <c r="J629" s="97"/>
      <c r="K629" s="97"/>
      <c r="L629" s="97"/>
      <c r="M629" s="97"/>
      <c r="N629" s="97"/>
      <c r="O629" s="97"/>
      <c r="P629" s="97"/>
      <c r="Q629" s="97"/>
      <c r="R629" s="97"/>
      <c r="S629" s="97"/>
      <c r="T629" s="97"/>
      <c r="U629" s="97"/>
      <c r="V629" s="97"/>
      <c r="W629" s="97"/>
      <c r="X629" s="97"/>
      <c r="Y629" s="97"/>
      <c r="Z629" s="97"/>
    </row>
    <row r="630" spans="1:26" ht="15" hidden="1">
      <c r="A630" s="97"/>
      <c r="B630" s="97"/>
      <c r="C630" s="97"/>
      <c r="D630" s="97"/>
      <c r="E630" s="97"/>
      <c r="F630" s="97"/>
      <c r="G630" s="97"/>
      <c r="H630" s="97"/>
      <c r="I630" s="97"/>
      <c r="J630" s="97"/>
      <c r="K630" s="97"/>
      <c r="L630" s="97"/>
      <c r="M630" s="97"/>
      <c r="N630" s="97"/>
      <c r="O630" s="97"/>
      <c r="P630" s="97"/>
      <c r="Q630" s="97"/>
      <c r="R630" s="97"/>
      <c r="S630" s="97"/>
      <c r="T630" s="97"/>
      <c r="U630" s="97"/>
      <c r="V630" s="97"/>
      <c r="W630" s="97"/>
      <c r="X630" s="97"/>
      <c r="Y630" s="97"/>
      <c r="Z630" s="97"/>
    </row>
    <row r="631" spans="1:26" ht="15" hidden="1">
      <c r="A631" s="97"/>
      <c r="B631" s="97"/>
      <c r="C631" s="97"/>
      <c r="D631" s="97"/>
      <c r="E631" s="97"/>
      <c r="F631" s="97"/>
      <c r="G631" s="97"/>
      <c r="H631" s="97"/>
      <c r="I631" s="97"/>
      <c r="J631" s="97"/>
      <c r="K631" s="97"/>
      <c r="L631" s="97"/>
      <c r="M631" s="97"/>
      <c r="N631" s="97"/>
      <c r="O631" s="97"/>
      <c r="P631" s="97"/>
      <c r="Q631" s="97"/>
      <c r="R631" s="97"/>
      <c r="S631" s="97"/>
      <c r="T631" s="97"/>
      <c r="U631" s="97"/>
      <c r="V631" s="97"/>
      <c r="W631" s="97"/>
      <c r="X631" s="97"/>
      <c r="Y631" s="97"/>
      <c r="Z631" s="97"/>
    </row>
    <row r="632" spans="1:26" ht="15" hidden="1">
      <c r="A632" s="97"/>
      <c r="B632" s="97"/>
      <c r="C632" s="97"/>
      <c r="D632" s="97"/>
      <c r="E632" s="97"/>
      <c r="F632" s="97"/>
      <c r="G632" s="97"/>
      <c r="H632" s="97"/>
      <c r="I632" s="97"/>
      <c r="J632" s="97"/>
      <c r="K632" s="97"/>
      <c r="L632" s="97"/>
      <c r="M632" s="97"/>
      <c r="N632" s="97"/>
      <c r="O632" s="97"/>
      <c r="P632" s="97"/>
      <c r="Q632" s="97"/>
      <c r="R632" s="97"/>
      <c r="S632" s="97"/>
      <c r="T632" s="97"/>
      <c r="U632" s="97"/>
      <c r="V632" s="97"/>
      <c r="W632" s="97"/>
      <c r="X632" s="97"/>
      <c r="Y632" s="97"/>
      <c r="Z632" s="97"/>
    </row>
    <row r="633" spans="1:26" ht="15" hidden="1">
      <c r="A633" s="97"/>
      <c r="B633" s="97"/>
      <c r="C633" s="97"/>
      <c r="D633" s="97"/>
      <c r="E633" s="97"/>
      <c r="F633" s="97"/>
      <c r="G633" s="97"/>
      <c r="H633" s="97"/>
      <c r="I633" s="97"/>
      <c r="J633" s="97"/>
      <c r="K633" s="97"/>
      <c r="L633" s="97"/>
      <c r="M633" s="97"/>
      <c r="N633" s="97"/>
      <c r="O633" s="97"/>
      <c r="P633" s="97"/>
      <c r="Q633" s="97"/>
      <c r="R633" s="97"/>
      <c r="S633" s="97"/>
      <c r="T633" s="97"/>
      <c r="U633" s="97"/>
      <c r="V633" s="97"/>
      <c r="W633" s="97"/>
      <c r="X633" s="97"/>
      <c r="Y633" s="97"/>
      <c r="Z633" s="97"/>
    </row>
    <row r="634" spans="1:26" ht="15" hidden="1">
      <c r="A634" s="97"/>
      <c r="B634" s="97"/>
      <c r="C634" s="97"/>
      <c r="D634" s="97"/>
      <c r="E634" s="97"/>
      <c r="F634" s="97"/>
      <c r="G634" s="97"/>
      <c r="H634" s="97"/>
      <c r="I634" s="97"/>
      <c r="J634" s="97"/>
      <c r="K634" s="97"/>
      <c r="L634" s="97"/>
      <c r="M634" s="97"/>
      <c r="N634" s="97"/>
      <c r="O634" s="97"/>
      <c r="P634" s="97"/>
      <c r="Q634" s="97"/>
      <c r="R634" s="97"/>
      <c r="S634" s="97"/>
      <c r="T634" s="97"/>
      <c r="U634" s="97"/>
      <c r="V634" s="97"/>
      <c r="W634" s="97"/>
      <c r="X634" s="97"/>
      <c r="Y634" s="97"/>
      <c r="Z634" s="97"/>
    </row>
    <row r="635" spans="1:26" ht="15" hidden="1">
      <c r="A635" s="97"/>
      <c r="B635" s="97"/>
      <c r="C635" s="97"/>
      <c r="D635" s="97"/>
      <c r="E635" s="97"/>
      <c r="F635" s="97"/>
      <c r="G635" s="97"/>
      <c r="H635" s="97"/>
      <c r="I635" s="97"/>
      <c r="J635" s="97"/>
      <c r="K635" s="97"/>
      <c r="L635" s="97"/>
      <c r="M635" s="97"/>
      <c r="N635" s="97"/>
      <c r="O635" s="97"/>
      <c r="P635" s="97"/>
      <c r="Q635" s="97"/>
      <c r="R635" s="97"/>
      <c r="S635" s="97"/>
      <c r="T635" s="97"/>
      <c r="U635" s="97"/>
      <c r="V635" s="97"/>
      <c r="W635" s="97"/>
      <c r="X635" s="97"/>
      <c r="Y635" s="97"/>
      <c r="Z635" s="97"/>
    </row>
    <row r="636" spans="1:26" ht="15" hidden="1">
      <c r="A636" s="97"/>
      <c r="B636" s="97"/>
      <c r="C636" s="97"/>
      <c r="D636" s="97"/>
      <c r="E636" s="97"/>
      <c r="F636" s="97"/>
      <c r="G636" s="97"/>
      <c r="H636" s="97"/>
      <c r="I636" s="97"/>
      <c r="J636" s="97"/>
      <c r="K636" s="97"/>
      <c r="L636" s="97"/>
      <c r="M636" s="97"/>
      <c r="N636" s="97"/>
      <c r="O636" s="97"/>
      <c r="P636" s="97"/>
      <c r="Q636" s="97"/>
      <c r="R636" s="97"/>
      <c r="S636" s="97"/>
      <c r="T636" s="97"/>
      <c r="U636" s="97"/>
      <c r="V636" s="97"/>
      <c r="W636" s="97"/>
      <c r="X636" s="97"/>
      <c r="Y636" s="97"/>
      <c r="Z636" s="97"/>
    </row>
    <row r="637" spans="1:26" ht="15" hidden="1">
      <c r="A637" s="97"/>
      <c r="B637" s="97"/>
      <c r="C637" s="97"/>
      <c r="D637" s="97"/>
      <c r="E637" s="97"/>
      <c r="F637" s="97"/>
      <c r="G637" s="97"/>
      <c r="H637" s="97"/>
      <c r="I637" s="97"/>
      <c r="J637" s="97"/>
      <c r="K637" s="97"/>
      <c r="L637" s="97"/>
      <c r="M637" s="97"/>
      <c r="N637" s="97"/>
      <c r="O637" s="97"/>
      <c r="P637" s="97"/>
      <c r="Q637" s="97"/>
      <c r="R637" s="97"/>
      <c r="S637" s="97"/>
      <c r="T637" s="97"/>
      <c r="U637" s="97"/>
      <c r="V637" s="97"/>
      <c r="W637" s="97"/>
      <c r="X637" s="97"/>
      <c r="Y637" s="97"/>
      <c r="Z637" s="97"/>
    </row>
    <row r="638" spans="1:26" ht="15" hidden="1">
      <c r="A638" s="97"/>
      <c r="B638" s="97"/>
      <c r="C638" s="97"/>
      <c r="D638" s="97"/>
      <c r="E638" s="97"/>
      <c r="F638" s="97"/>
      <c r="G638" s="97"/>
      <c r="H638" s="97"/>
      <c r="I638" s="97"/>
      <c r="J638" s="97"/>
      <c r="K638" s="97"/>
      <c r="L638" s="97"/>
      <c r="M638" s="97"/>
      <c r="N638" s="97"/>
      <c r="O638" s="97"/>
      <c r="P638" s="97"/>
      <c r="Q638" s="97"/>
      <c r="R638" s="97"/>
      <c r="S638" s="97"/>
      <c r="T638" s="97"/>
      <c r="U638" s="97"/>
      <c r="V638" s="97"/>
      <c r="W638" s="97"/>
      <c r="X638" s="97"/>
      <c r="Y638" s="97"/>
      <c r="Z638" s="97"/>
    </row>
    <row r="639" spans="1:26" ht="15" hidden="1">
      <c r="A639" s="97"/>
      <c r="B639" s="97"/>
      <c r="C639" s="97"/>
      <c r="D639" s="97"/>
      <c r="E639" s="97"/>
      <c r="F639" s="97"/>
      <c r="G639" s="97"/>
      <c r="H639" s="97"/>
      <c r="I639" s="97"/>
      <c r="J639" s="97"/>
      <c r="K639" s="97"/>
      <c r="L639" s="97"/>
      <c r="M639" s="97"/>
      <c r="N639" s="97"/>
      <c r="O639" s="97"/>
      <c r="P639" s="97"/>
      <c r="Q639" s="97"/>
      <c r="R639" s="97"/>
      <c r="S639" s="97"/>
      <c r="T639" s="97"/>
      <c r="U639" s="97"/>
      <c r="V639" s="97"/>
      <c r="W639" s="97"/>
      <c r="X639" s="97"/>
      <c r="Y639" s="97"/>
      <c r="Z639" s="97"/>
    </row>
    <row r="640" spans="1:26" ht="15" hidden="1">
      <c r="A640" s="97"/>
      <c r="B640" s="97"/>
      <c r="C640" s="97"/>
      <c r="D640" s="97"/>
      <c r="E640" s="97"/>
      <c r="F640" s="97"/>
      <c r="G640" s="97"/>
      <c r="H640" s="97"/>
      <c r="I640" s="97"/>
      <c r="J640" s="97"/>
      <c r="K640" s="97"/>
      <c r="L640" s="97"/>
      <c r="M640" s="97"/>
      <c r="N640" s="97"/>
      <c r="O640" s="97"/>
      <c r="P640" s="97"/>
      <c r="Q640" s="97"/>
      <c r="R640" s="97"/>
      <c r="S640" s="97"/>
      <c r="T640" s="97"/>
      <c r="U640" s="97"/>
      <c r="V640" s="97"/>
      <c r="W640" s="97"/>
      <c r="X640" s="97"/>
      <c r="Y640" s="97"/>
      <c r="Z640" s="97"/>
    </row>
    <row r="641" spans="1:26" ht="15" hidden="1">
      <c r="A641" s="97"/>
      <c r="B641" s="97"/>
      <c r="C641" s="97"/>
      <c r="D641" s="97"/>
      <c r="E641" s="97"/>
      <c r="F641" s="97"/>
      <c r="G641" s="97"/>
      <c r="H641" s="97"/>
      <c r="I641" s="97"/>
      <c r="J641" s="97"/>
      <c r="K641" s="97"/>
      <c r="L641" s="97"/>
      <c r="M641" s="97"/>
      <c r="N641" s="97"/>
      <c r="O641" s="97"/>
      <c r="P641" s="97"/>
      <c r="Q641" s="97"/>
      <c r="R641" s="97"/>
      <c r="S641" s="97"/>
      <c r="T641" s="97"/>
      <c r="U641" s="97"/>
      <c r="V641" s="97"/>
      <c r="W641" s="97"/>
      <c r="X641" s="97"/>
      <c r="Y641" s="97"/>
      <c r="Z641" s="97"/>
    </row>
    <row r="642" spans="1:26" ht="15" hidden="1">
      <c r="A642" s="97"/>
      <c r="B642" s="97"/>
      <c r="C642" s="97"/>
      <c r="D642" s="97"/>
      <c r="E642" s="97"/>
      <c r="F642" s="97"/>
      <c r="G642" s="97"/>
      <c r="H642" s="97"/>
      <c r="I642" s="97"/>
      <c r="J642" s="97"/>
      <c r="K642" s="97"/>
      <c r="L642" s="97"/>
      <c r="M642" s="97"/>
      <c r="N642" s="97"/>
      <c r="O642" s="97"/>
      <c r="P642" s="97"/>
      <c r="Q642" s="97"/>
      <c r="R642" s="97"/>
      <c r="S642" s="97"/>
      <c r="T642" s="97"/>
      <c r="U642" s="97"/>
      <c r="V642" s="97"/>
      <c r="W642" s="97"/>
      <c r="X642" s="97"/>
      <c r="Y642" s="97"/>
      <c r="Z642" s="97"/>
    </row>
    <row r="643" spans="1:26" ht="15" hidden="1">
      <c r="A643" s="97"/>
      <c r="B643" s="97"/>
      <c r="C643" s="97"/>
      <c r="D643" s="97"/>
      <c r="E643" s="97"/>
      <c r="F643" s="97"/>
      <c r="G643" s="97"/>
      <c r="H643" s="97"/>
      <c r="I643" s="97"/>
      <c r="J643" s="97"/>
      <c r="K643" s="97"/>
      <c r="L643" s="97"/>
      <c r="M643" s="97"/>
      <c r="N643" s="97"/>
      <c r="O643" s="97"/>
      <c r="P643" s="97"/>
      <c r="Q643" s="97"/>
      <c r="R643" s="97"/>
      <c r="S643" s="97"/>
      <c r="T643" s="97"/>
      <c r="U643" s="97"/>
      <c r="V643" s="97"/>
      <c r="W643" s="97"/>
      <c r="X643" s="97"/>
      <c r="Y643" s="97"/>
      <c r="Z643" s="97"/>
    </row>
    <row r="644" spans="1:26" ht="15" hidden="1">
      <c r="A644" s="97"/>
      <c r="B644" s="97"/>
      <c r="C644" s="97"/>
      <c r="D644" s="97"/>
      <c r="E644" s="97"/>
      <c r="F644" s="97"/>
      <c r="G644" s="97"/>
      <c r="H644" s="97"/>
      <c r="I644" s="97"/>
      <c r="J644" s="97"/>
      <c r="K644" s="97"/>
      <c r="L644" s="97"/>
      <c r="M644" s="97"/>
      <c r="N644" s="97"/>
      <c r="O644" s="97"/>
      <c r="P644" s="97"/>
      <c r="Q644" s="97"/>
      <c r="R644" s="97"/>
      <c r="S644" s="97"/>
      <c r="T644" s="97"/>
      <c r="U644" s="97"/>
      <c r="V644" s="97"/>
      <c r="W644" s="97"/>
      <c r="X644" s="97"/>
      <c r="Y644" s="97"/>
      <c r="Z644" s="97"/>
    </row>
    <row r="645" spans="1:26" ht="15" hidden="1">
      <c r="A645" s="97"/>
      <c r="B645" s="97"/>
      <c r="C645" s="97"/>
      <c r="D645" s="97"/>
      <c r="E645" s="97"/>
      <c r="F645" s="97"/>
      <c r="G645" s="97"/>
      <c r="H645" s="97"/>
      <c r="I645" s="97"/>
      <c r="J645" s="97"/>
      <c r="K645" s="97"/>
      <c r="L645" s="97"/>
      <c r="M645" s="97"/>
      <c r="N645" s="97"/>
      <c r="O645" s="97"/>
      <c r="P645" s="97"/>
      <c r="Q645" s="97"/>
      <c r="R645" s="97"/>
      <c r="S645" s="97"/>
      <c r="T645" s="97"/>
      <c r="U645" s="97"/>
      <c r="V645" s="97"/>
      <c r="W645" s="97"/>
      <c r="X645" s="97"/>
      <c r="Y645" s="97"/>
      <c r="Z645" s="97"/>
    </row>
    <row r="646" spans="1:26" ht="15" hidden="1">
      <c r="A646" s="97"/>
      <c r="B646" s="97"/>
      <c r="C646" s="97"/>
      <c r="D646" s="97"/>
      <c r="E646" s="97"/>
      <c r="F646" s="97"/>
      <c r="G646" s="97"/>
      <c r="H646" s="97"/>
      <c r="I646" s="97"/>
      <c r="J646" s="97"/>
      <c r="K646" s="97"/>
      <c r="L646" s="97"/>
      <c r="M646" s="97"/>
      <c r="N646" s="97"/>
      <c r="O646" s="97"/>
      <c r="P646" s="97"/>
      <c r="Q646" s="97"/>
      <c r="R646" s="97"/>
      <c r="S646" s="97"/>
      <c r="T646" s="97"/>
      <c r="U646" s="97"/>
      <c r="V646" s="97"/>
      <c r="W646" s="97"/>
      <c r="X646" s="97"/>
      <c r="Y646" s="97"/>
      <c r="Z646" s="97"/>
    </row>
    <row r="647" spans="1:26" ht="15" hidden="1">
      <c r="A647" s="97"/>
      <c r="B647" s="97"/>
      <c r="C647" s="97"/>
      <c r="D647" s="97"/>
      <c r="E647" s="97"/>
      <c r="F647" s="97"/>
      <c r="G647" s="97"/>
      <c r="H647" s="97"/>
      <c r="I647" s="97"/>
      <c r="J647" s="97"/>
      <c r="K647" s="97"/>
      <c r="L647" s="97"/>
      <c r="M647" s="97"/>
      <c r="N647" s="97"/>
      <c r="O647" s="97"/>
      <c r="P647" s="97"/>
      <c r="Q647" s="97"/>
      <c r="R647" s="97"/>
      <c r="S647" s="97"/>
      <c r="T647" s="97"/>
      <c r="U647" s="97"/>
      <c r="V647" s="97"/>
      <c r="W647" s="97"/>
      <c r="X647" s="97"/>
      <c r="Y647" s="97"/>
      <c r="Z647" s="97"/>
    </row>
    <row r="648" spans="1:26" ht="15" hidden="1">
      <c r="A648" s="97"/>
      <c r="B648" s="97"/>
      <c r="C648" s="97"/>
      <c r="D648" s="97"/>
      <c r="E648" s="97"/>
      <c r="F648" s="97"/>
      <c r="G648" s="97"/>
      <c r="H648" s="97"/>
      <c r="I648" s="97"/>
      <c r="J648" s="97"/>
      <c r="K648" s="97"/>
      <c r="L648" s="97"/>
      <c r="M648" s="97"/>
      <c r="N648" s="97"/>
      <c r="O648" s="97"/>
      <c r="P648" s="97"/>
      <c r="Q648" s="97"/>
      <c r="R648" s="97"/>
      <c r="S648" s="97"/>
      <c r="T648" s="97"/>
      <c r="U648" s="97"/>
      <c r="V648" s="97"/>
      <c r="W648" s="97"/>
      <c r="X648" s="97"/>
      <c r="Y648" s="97"/>
      <c r="Z648" s="97"/>
    </row>
    <row r="649" spans="1:26" ht="15" hidden="1">
      <c r="A649" s="97"/>
      <c r="B649" s="97"/>
      <c r="C649" s="97"/>
      <c r="D649" s="97"/>
      <c r="E649" s="97"/>
      <c r="F649" s="97"/>
      <c r="G649" s="97"/>
      <c r="H649" s="97"/>
      <c r="I649" s="97"/>
      <c r="J649" s="97"/>
      <c r="K649" s="97"/>
      <c r="L649" s="97"/>
      <c r="M649" s="97"/>
      <c r="N649" s="97"/>
      <c r="O649" s="97"/>
      <c r="P649" s="97"/>
      <c r="Q649" s="97"/>
      <c r="R649" s="97"/>
      <c r="S649" s="97"/>
      <c r="T649" s="97"/>
      <c r="U649" s="97"/>
      <c r="V649" s="97"/>
      <c r="W649" s="97"/>
      <c r="X649" s="97"/>
      <c r="Y649" s="97"/>
      <c r="Z649" s="97"/>
    </row>
    <row r="650" spans="1:26" ht="15" hidden="1">
      <c r="A650" s="97"/>
      <c r="B650" s="97"/>
      <c r="C650" s="97"/>
      <c r="D650" s="97"/>
      <c r="E650" s="97"/>
      <c r="F650" s="97"/>
      <c r="G650" s="97"/>
      <c r="H650" s="97"/>
      <c r="I650" s="97"/>
      <c r="J650" s="97"/>
      <c r="K650" s="97"/>
      <c r="L650" s="97"/>
      <c r="M650" s="97"/>
      <c r="N650" s="97"/>
      <c r="O650" s="97"/>
      <c r="P650" s="97"/>
      <c r="Q650" s="97"/>
      <c r="R650" s="97"/>
      <c r="S650" s="97"/>
      <c r="T650" s="97"/>
      <c r="U650" s="97"/>
      <c r="V650" s="97"/>
      <c r="W650" s="97"/>
      <c r="X650" s="97"/>
      <c r="Y650" s="97"/>
      <c r="Z650" s="97"/>
    </row>
    <row r="651" spans="1:26" ht="15" hidden="1">
      <c r="A651" s="97"/>
      <c r="B651" s="97"/>
      <c r="C651" s="97"/>
      <c r="D651" s="97"/>
      <c r="E651" s="97"/>
      <c r="F651" s="97"/>
      <c r="G651" s="97"/>
      <c r="H651" s="97"/>
      <c r="I651" s="97"/>
      <c r="J651" s="97"/>
      <c r="K651" s="97"/>
      <c r="L651" s="97"/>
      <c r="M651" s="97"/>
      <c r="N651" s="97"/>
      <c r="O651" s="97"/>
      <c r="P651" s="97"/>
      <c r="Q651" s="97"/>
      <c r="R651" s="97"/>
      <c r="S651" s="97"/>
      <c r="T651" s="97"/>
      <c r="U651" s="97"/>
      <c r="V651" s="97"/>
      <c r="W651" s="97"/>
      <c r="X651" s="97"/>
      <c r="Y651" s="97"/>
      <c r="Z651" s="97"/>
    </row>
    <row r="652" spans="1:26" ht="15" hidden="1">
      <c r="A652" s="97"/>
      <c r="B652" s="97"/>
      <c r="C652" s="97"/>
      <c r="D652" s="97"/>
      <c r="E652" s="97"/>
      <c r="F652" s="97"/>
      <c r="G652" s="97"/>
      <c r="H652" s="97"/>
      <c r="I652" s="97"/>
      <c r="J652" s="97"/>
      <c r="K652" s="97"/>
      <c r="L652" s="97"/>
      <c r="M652" s="97"/>
      <c r="N652" s="97"/>
      <c r="O652" s="97"/>
      <c r="P652" s="97"/>
      <c r="Q652" s="97"/>
      <c r="R652" s="97"/>
      <c r="S652" s="97"/>
      <c r="T652" s="97"/>
      <c r="U652" s="97"/>
      <c r="V652" s="97"/>
      <c r="W652" s="97"/>
      <c r="X652" s="97"/>
      <c r="Y652" s="97"/>
      <c r="Z652" s="97"/>
    </row>
    <row r="653" spans="1:26" ht="15" hidden="1">
      <c r="A653" s="97"/>
      <c r="B653" s="97"/>
      <c r="C653" s="97"/>
      <c r="D653" s="97"/>
      <c r="E653" s="97"/>
      <c r="F653" s="97"/>
      <c r="G653" s="97"/>
      <c r="H653" s="97"/>
      <c r="I653" s="97"/>
      <c r="J653" s="97"/>
      <c r="K653" s="97"/>
      <c r="L653" s="97"/>
      <c r="M653" s="97"/>
      <c r="N653" s="97"/>
      <c r="O653" s="97"/>
      <c r="P653" s="97"/>
      <c r="Q653" s="97"/>
      <c r="R653" s="97"/>
      <c r="S653" s="97"/>
      <c r="T653" s="97"/>
      <c r="U653" s="97"/>
      <c r="V653" s="97"/>
      <c r="W653" s="97"/>
      <c r="X653" s="97"/>
      <c r="Y653" s="97"/>
      <c r="Z653" s="97"/>
    </row>
    <row r="654" spans="1:26" ht="15" hidden="1">
      <c r="A654" s="97"/>
      <c r="B654" s="97"/>
      <c r="C654" s="97"/>
      <c r="D654" s="97"/>
      <c r="E654" s="97"/>
      <c r="F654" s="97"/>
      <c r="G654" s="97"/>
      <c r="H654" s="97"/>
      <c r="I654" s="97"/>
      <c r="J654" s="97"/>
      <c r="K654" s="97"/>
      <c r="L654" s="97"/>
      <c r="M654" s="97"/>
      <c r="N654" s="97"/>
      <c r="O654" s="97"/>
      <c r="P654" s="97"/>
      <c r="Q654" s="97"/>
      <c r="R654" s="97"/>
      <c r="S654" s="97"/>
      <c r="T654" s="97"/>
      <c r="U654" s="97"/>
      <c r="V654" s="97"/>
      <c r="W654" s="97"/>
      <c r="X654" s="97"/>
      <c r="Y654" s="97"/>
      <c r="Z654" s="97"/>
    </row>
    <row r="655" spans="1:26" ht="15" hidden="1">
      <c r="A655" s="97"/>
      <c r="B655" s="97"/>
      <c r="C655" s="97"/>
      <c r="D655" s="97"/>
      <c r="E655" s="97"/>
      <c r="F655" s="97"/>
      <c r="G655" s="97"/>
      <c r="H655" s="97"/>
      <c r="I655" s="97"/>
      <c r="J655" s="97"/>
      <c r="K655" s="97"/>
      <c r="L655" s="97"/>
      <c r="M655" s="97"/>
      <c r="N655" s="97"/>
      <c r="O655" s="97"/>
      <c r="P655" s="97"/>
      <c r="Q655" s="97"/>
      <c r="R655" s="97"/>
      <c r="S655" s="97"/>
      <c r="T655" s="97"/>
      <c r="U655" s="97"/>
      <c r="V655" s="97"/>
      <c r="W655" s="97"/>
      <c r="X655" s="97"/>
      <c r="Y655" s="97"/>
      <c r="Z655" s="97"/>
    </row>
    <row r="656" spans="1:26" ht="15" hidden="1">
      <c r="A656" s="97"/>
      <c r="B656" s="97"/>
      <c r="C656" s="97"/>
      <c r="D656" s="97"/>
      <c r="E656" s="97"/>
      <c r="F656" s="97"/>
      <c r="G656" s="97"/>
      <c r="H656" s="97"/>
      <c r="I656" s="97"/>
      <c r="J656" s="97"/>
      <c r="K656" s="97"/>
      <c r="L656" s="97"/>
      <c r="M656" s="97"/>
      <c r="N656" s="97"/>
      <c r="O656" s="97"/>
      <c r="P656" s="97"/>
      <c r="Q656" s="97"/>
      <c r="R656" s="97"/>
      <c r="S656" s="97"/>
      <c r="T656" s="97"/>
      <c r="U656" s="97"/>
      <c r="V656" s="97"/>
      <c r="W656" s="97"/>
      <c r="X656" s="97"/>
      <c r="Y656" s="97"/>
      <c r="Z656" s="97"/>
    </row>
    <row r="657" spans="1:26" ht="15" hidden="1">
      <c r="A657" s="97"/>
      <c r="B657" s="97"/>
      <c r="C657" s="97"/>
      <c r="D657" s="97"/>
      <c r="E657" s="97"/>
      <c r="F657" s="97"/>
      <c r="G657" s="97"/>
      <c r="H657" s="97"/>
      <c r="I657" s="97"/>
      <c r="J657" s="97"/>
      <c r="K657" s="97"/>
      <c r="L657" s="97"/>
      <c r="M657" s="97"/>
      <c r="N657" s="97"/>
      <c r="O657" s="97"/>
      <c r="P657" s="97"/>
      <c r="Q657" s="97"/>
      <c r="R657" s="97"/>
      <c r="S657" s="97"/>
      <c r="T657" s="97"/>
      <c r="U657" s="97"/>
      <c r="V657" s="97"/>
      <c r="W657" s="97"/>
      <c r="X657" s="97"/>
      <c r="Y657" s="97"/>
      <c r="Z657" s="97"/>
    </row>
    <row r="658" spans="1:26" ht="15" hidden="1">
      <c r="A658" s="97"/>
      <c r="B658" s="97"/>
      <c r="C658" s="97"/>
      <c r="D658" s="97"/>
      <c r="E658" s="97"/>
      <c r="F658" s="97"/>
      <c r="G658" s="97"/>
      <c r="H658" s="97"/>
      <c r="I658" s="97"/>
      <c r="J658" s="97"/>
      <c r="K658" s="97"/>
      <c r="L658" s="97"/>
      <c r="M658" s="97"/>
      <c r="N658" s="97"/>
      <c r="O658" s="97"/>
      <c r="P658" s="97"/>
      <c r="Q658" s="97"/>
      <c r="R658" s="97"/>
      <c r="S658" s="97"/>
      <c r="T658" s="97"/>
      <c r="U658" s="97"/>
      <c r="V658" s="97"/>
      <c r="W658" s="97"/>
      <c r="X658" s="97"/>
      <c r="Y658" s="97"/>
      <c r="Z658" s="97"/>
    </row>
    <row r="659" spans="1:26" ht="15" hidden="1">
      <c r="A659" s="97"/>
      <c r="B659" s="97"/>
      <c r="C659" s="97"/>
      <c r="D659" s="97"/>
      <c r="E659" s="97"/>
      <c r="F659" s="97"/>
      <c r="G659" s="97"/>
      <c r="H659" s="97"/>
      <c r="I659" s="97"/>
      <c r="J659" s="97"/>
      <c r="K659" s="97"/>
      <c r="L659" s="97"/>
      <c r="M659" s="97"/>
      <c r="N659" s="97"/>
      <c r="O659" s="97"/>
      <c r="P659" s="97"/>
      <c r="Q659" s="97"/>
      <c r="R659" s="97"/>
      <c r="S659" s="97"/>
      <c r="T659" s="97"/>
      <c r="U659" s="97"/>
      <c r="V659" s="97"/>
      <c r="W659" s="97"/>
      <c r="X659" s="97"/>
      <c r="Y659" s="97"/>
      <c r="Z659" s="97"/>
    </row>
    <row r="660" spans="1:26" ht="15" hidden="1">
      <c r="A660" s="97"/>
      <c r="B660" s="97"/>
      <c r="C660" s="97"/>
      <c r="D660" s="97"/>
      <c r="E660" s="97"/>
      <c r="F660" s="97"/>
      <c r="G660" s="97"/>
      <c r="H660" s="97"/>
      <c r="I660" s="97"/>
      <c r="J660" s="97"/>
      <c r="K660" s="97"/>
      <c r="L660" s="97"/>
      <c r="M660" s="97"/>
      <c r="N660" s="97"/>
      <c r="O660" s="97"/>
      <c r="P660" s="97"/>
      <c r="Q660" s="97"/>
      <c r="R660" s="97"/>
      <c r="S660" s="97"/>
      <c r="T660" s="97"/>
      <c r="U660" s="97"/>
      <c r="V660" s="97"/>
      <c r="W660" s="97"/>
      <c r="X660" s="97"/>
      <c r="Y660" s="97"/>
      <c r="Z660" s="97"/>
    </row>
    <row r="661" spans="1:26" ht="15" hidden="1">
      <c r="A661" s="97"/>
      <c r="B661" s="97"/>
      <c r="C661" s="97"/>
      <c r="D661" s="97"/>
      <c r="E661" s="97"/>
      <c r="F661" s="97"/>
      <c r="G661" s="97"/>
      <c r="H661" s="97"/>
      <c r="I661" s="97"/>
      <c r="J661" s="97"/>
      <c r="K661" s="97"/>
      <c r="L661" s="97"/>
      <c r="M661" s="97"/>
      <c r="N661" s="97"/>
      <c r="O661" s="97"/>
      <c r="P661" s="97"/>
      <c r="Q661" s="97"/>
      <c r="R661" s="97"/>
      <c r="S661" s="97"/>
      <c r="T661" s="97"/>
      <c r="U661" s="97"/>
      <c r="V661" s="97"/>
      <c r="W661" s="97"/>
      <c r="X661" s="97"/>
      <c r="Y661" s="97"/>
      <c r="Z661" s="97"/>
    </row>
    <row r="662" spans="1:26" ht="15" hidden="1">
      <c r="A662" s="97"/>
      <c r="B662" s="97"/>
      <c r="C662" s="97"/>
      <c r="D662" s="97"/>
      <c r="E662" s="97"/>
      <c r="F662" s="97"/>
      <c r="G662" s="97"/>
      <c r="H662" s="97"/>
      <c r="I662" s="97"/>
      <c r="J662" s="97"/>
      <c r="K662" s="97"/>
      <c r="L662" s="97"/>
      <c r="M662" s="97"/>
      <c r="N662" s="97"/>
      <c r="O662" s="97"/>
      <c r="P662" s="97"/>
      <c r="Q662" s="97"/>
      <c r="R662" s="97"/>
      <c r="S662" s="97"/>
      <c r="T662" s="97"/>
      <c r="U662" s="97"/>
      <c r="V662" s="97"/>
      <c r="W662" s="97"/>
      <c r="X662" s="97"/>
      <c r="Y662" s="97"/>
      <c r="Z662" s="97"/>
    </row>
    <row r="663" spans="1:26" ht="15" hidden="1">
      <c r="A663" s="97"/>
      <c r="B663" s="97"/>
      <c r="C663" s="97"/>
      <c r="D663" s="97"/>
      <c r="E663" s="97"/>
      <c r="F663" s="97"/>
      <c r="G663" s="97"/>
      <c r="H663" s="97"/>
      <c r="I663" s="97"/>
      <c r="J663" s="97"/>
      <c r="K663" s="97"/>
      <c r="L663" s="97"/>
      <c r="M663" s="97"/>
      <c r="N663" s="97"/>
      <c r="O663" s="97"/>
      <c r="P663" s="97"/>
      <c r="Q663" s="97"/>
      <c r="R663" s="97"/>
      <c r="S663" s="97"/>
      <c r="T663" s="97"/>
      <c r="U663" s="97"/>
      <c r="V663" s="97"/>
      <c r="W663" s="97"/>
      <c r="X663" s="97"/>
      <c r="Y663" s="97"/>
      <c r="Z663" s="97"/>
    </row>
    <row r="664" spans="1:26" ht="15" hidden="1">
      <c r="A664" s="97"/>
      <c r="B664" s="97"/>
      <c r="C664" s="97"/>
      <c r="D664" s="97"/>
      <c r="E664" s="97"/>
      <c r="F664" s="97"/>
      <c r="G664" s="97"/>
      <c r="H664" s="97"/>
      <c r="I664" s="97"/>
      <c r="J664" s="97"/>
      <c r="K664" s="97"/>
      <c r="L664" s="97"/>
      <c r="M664" s="97"/>
      <c r="N664" s="97"/>
      <c r="O664" s="97"/>
      <c r="P664" s="97"/>
      <c r="Q664" s="97"/>
      <c r="R664" s="97"/>
      <c r="S664" s="97"/>
      <c r="T664" s="97"/>
      <c r="U664" s="97"/>
      <c r="V664" s="97"/>
      <c r="W664" s="97"/>
      <c r="X664" s="97"/>
      <c r="Y664" s="97"/>
      <c r="Z664" s="97"/>
    </row>
    <row r="665" spans="1:26" ht="15" hidden="1">
      <c r="A665" s="97"/>
      <c r="B665" s="97"/>
      <c r="C665" s="97"/>
      <c r="D665" s="97"/>
      <c r="E665" s="97"/>
      <c r="F665" s="97"/>
      <c r="G665" s="97"/>
      <c r="H665" s="97"/>
      <c r="I665" s="97"/>
      <c r="J665" s="97"/>
      <c r="K665" s="97"/>
      <c r="L665" s="97"/>
      <c r="M665" s="97"/>
      <c r="N665" s="97"/>
      <c r="O665" s="97"/>
      <c r="P665" s="97"/>
      <c r="Q665" s="97"/>
      <c r="R665" s="97"/>
      <c r="S665" s="97"/>
      <c r="T665" s="97"/>
      <c r="U665" s="97"/>
      <c r="V665" s="97"/>
      <c r="W665" s="97"/>
      <c r="X665" s="97"/>
      <c r="Y665" s="97"/>
      <c r="Z665" s="97"/>
    </row>
    <row r="666" spans="1:26" ht="15" hidden="1">
      <c r="A666" s="97"/>
      <c r="B666" s="97"/>
      <c r="C666" s="97"/>
      <c r="D666" s="97"/>
      <c r="E666" s="97"/>
      <c r="F666" s="97"/>
      <c r="G666" s="97"/>
      <c r="H666" s="97"/>
      <c r="I666" s="97"/>
      <c r="J666" s="97"/>
      <c r="K666" s="97"/>
      <c r="L666" s="97"/>
      <c r="M666" s="97"/>
      <c r="N666" s="97"/>
      <c r="O666" s="97"/>
      <c r="P666" s="97"/>
      <c r="Q666" s="97"/>
      <c r="R666" s="97"/>
      <c r="S666" s="97"/>
      <c r="T666" s="97"/>
      <c r="U666" s="97"/>
      <c r="V666" s="97"/>
      <c r="W666" s="97"/>
      <c r="X666" s="97"/>
      <c r="Y666" s="97"/>
      <c r="Z666" s="97"/>
    </row>
    <row r="667" spans="1:26" ht="15" hidden="1">
      <c r="A667" s="97"/>
      <c r="B667" s="97"/>
      <c r="C667" s="97"/>
      <c r="D667" s="97"/>
      <c r="E667" s="97"/>
      <c r="F667" s="97"/>
      <c r="G667" s="97"/>
      <c r="H667" s="97"/>
      <c r="I667" s="97"/>
      <c r="J667" s="97"/>
      <c r="K667" s="97"/>
      <c r="L667" s="97"/>
      <c r="M667" s="97"/>
      <c r="N667" s="97"/>
      <c r="O667" s="97"/>
      <c r="P667" s="97"/>
      <c r="Q667" s="97"/>
      <c r="R667" s="97"/>
      <c r="S667" s="97"/>
      <c r="T667" s="97"/>
      <c r="U667" s="97"/>
      <c r="V667" s="97"/>
      <c r="W667" s="97"/>
      <c r="X667" s="97"/>
      <c r="Y667" s="97"/>
      <c r="Z667" s="97"/>
    </row>
    <row r="668" spans="1:26" ht="15" hidden="1">
      <c r="A668" s="97"/>
      <c r="B668" s="97"/>
      <c r="C668" s="97"/>
      <c r="D668" s="97"/>
      <c r="E668" s="97"/>
      <c r="F668" s="97"/>
      <c r="G668" s="97"/>
      <c r="H668" s="97"/>
      <c r="I668" s="97"/>
      <c r="J668" s="97"/>
      <c r="K668" s="97"/>
      <c r="L668" s="97"/>
      <c r="M668" s="97"/>
      <c r="N668" s="97"/>
      <c r="O668" s="97"/>
      <c r="P668" s="97"/>
      <c r="Q668" s="97"/>
      <c r="R668" s="97"/>
      <c r="S668" s="97"/>
      <c r="T668" s="97"/>
      <c r="U668" s="97"/>
      <c r="V668" s="97"/>
      <c r="W668" s="97"/>
      <c r="X668" s="97"/>
      <c r="Y668" s="97"/>
      <c r="Z668" s="97"/>
    </row>
    <row r="669" spans="1:26" ht="15" hidden="1">
      <c r="A669" s="97"/>
      <c r="B669" s="97"/>
      <c r="C669" s="97"/>
      <c r="D669" s="97"/>
      <c r="E669" s="97"/>
      <c r="F669" s="97"/>
      <c r="G669" s="97"/>
      <c r="H669" s="97"/>
      <c r="I669" s="97"/>
      <c r="J669" s="97"/>
      <c r="K669" s="97"/>
      <c r="L669" s="97"/>
      <c r="M669" s="97"/>
      <c r="N669" s="97"/>
      <c r="O669" s="97"/>
      <c r="P669" s="97"/>
      <c r="Q669" s="97"/>
      <c r="R669" s="97"/>
      <c r="S669" s="97"/>
      <c r="T669" s="97"/>
      <c r="U669" s="97"/>
      <c r="V669" s="97"/>
      <c r="W669" s="97"/>
      <c r="X669" s="97"/>
      <c r="Y669" s="97"/>
      <c r="Z669" s="97"/>
    </row>
    <row r="670" spans="1:26" ht="15" hidden="1">
      <c r="A670" s="97"/>
      <c r="B670" s="97"/>
      <c r="C670" s="97"/>
      <c r="D670" s="97"/>
      <c r="E670" s="97"/>
      <c r="F670" s="97"/>
      <c r="G670" s="97"/>
      <c r="H670" s="97"/>
      <c r="I670" s="97"/>
      <c r="J670" s="97"/>
      <c r="K670" s="97"/>
      <c r="L670" s="97"/>
      <c r="M670" s="97"/>
      <c r="N670" s="97"/>
      <c r="O670" s="97"/>
      <c r="P670" s="97"/>
      <c r="Q670" s="97"/>
      <c r="R670" s="97"/>
      <c r="S670" s="97"/>
      <c r="T670" s="97"/>
      <c r="U670" s="97"/>
      <c r="V670" s="97"/>
      <c r="W670" s="97"/>
      <c r="X670" s="97"/>
      <c r="Y670" s="97"/>
      <c r="Z670" s="97"/>
    </row>
    <row r="671" spans="1:26" ht="15" hidden="1">
      <c r="A671" s="97"/>
      <c r="B671" s="97"/>
      <c r="C671" s="97"/>
      <c r="D671" s="97"/>
      <c r="E671" s="97"/>
      <c r="F671" s="97"/>
      <c r="G671" s="97"/>
      <c r="H671" s="97"/>
      <c r="I671" s="97"/>
      <c r="J671" s="97"/>
      <c r="K671" s="97"/>
      <c r="L671" s="97"/>
      <c r="M671" s="97"/>
      <c r="N671" s="97"/>
      <c r="O671" s="97"/>
      <c r="P671" s="97"/>
      <c r="Q671" s="97"/>
      <c r="R671" s="97"/>
      <c r="S671" s="97"/>
      <c r="T671" s="97"/>
      <c r="U671" s="97"/>
      <c r="V671" s="97"/>
      <c r="W671" s="97"/>
      <c r="X671" s="97"/>
      <c r="Y671" s="97"/>
      <c r="Z671" s="97"/>
    </row>
    <row r="672" spans="1:26" ht="15" hidden="1">
      <c r="A672" s="97"/>
      <c r="B672" s="97"/>
      <c r="C672" s="97"/>
      <c r="D672" s="97"/>
      <c r="E672" s="97"/>
      <c r="F672" s="97"/>
      <c r="G672" s="97"/>
      <c r="H672" s="97"/>
      <c r="I672" s="97"/>
      <c r="J672" s="97"/>
      <c r="K672" s="97"/>
      <c r="L672" s="97"/>
      <c r="M672" s="97"/>
      <c r="N672" s="97"/>
      <c r="O672" s="97"/>
      <c r="P672" s="97"/>
      <c r="Q672" s="97"/>
      <c r="R672" s="97"/>
      <c r="S672" s="97"/>
      <c r="T672" s="97"/>
      <c r="U672" s="97"/>
      <c r="V672" s="97"/>
      <c r="W672" s="97"/>
      <c r="X672" s="97"/>
      <c r="Y672" s="97"/>
      <c r="Z672" s="97"/>
    </row>
    <row r="673" spans="1:26" ht="15" hidden="1">
      <c r="A673" s="97"/>
      <c r="B673" s="97"/>
      <c r="C673" s="97"/>
      <c r="D673" s="97"/>
      <c r="E673" s="97"/>
      <c r="F673" s="97"/>
      <c r="G673" s="97"/>
      <c r="H673" s="97"/>
      <c r="I673" s="97"/>
      <c r="J673" s="97"/>
      <c r="K673" s="97"/>
      <c r="L673" s="97"/>
      <c r="M673" s="97"/>
      <c r="N673" s="97"/>
      <c r="O673" s="97"/>
      <c r="P673" s="97"/>
      <c r="Q673" s="97"/>
      <c r="R673" s="97"/>
      <c r="S673" s="97"/>
      <c r="T673" s="97"/>
      <c r="U673" s="97"/>
      <c r="V673" s="97"/>
      <c r="W673" s="97"/>
      <c r="X673" s="97"/>
      <c r="Y673" s="97"/>
      <c r="Z673" s="97"/>
    </row>
    <row r="674" spans="1:26" ht="15" hidden="1">
      <c r="A674" s="97"/>
      <c r="B674" s="97"/>
      <c r="C674" s="97"/>
      <c r="D674" s="97"/>
      <c r="E674" s="97"/>
      <c r="F674" s="97"/>
      <c r="G674" s="97"/>
      <c r="H674" s="97"/>
      <c r="I674" s="97"/>
      <c r="J674" s="97"/>
      <c r="K674" s="97"/>
      <c r="L674" s="97"/>
      <c r="M674" s="97"/>
      <c r="N674" s="97"/>
      <c r="O674" s="97"/>
      <c r="P674" s="97"/>
      <c r="Q674" s="97"/>
      <c r="R674" s="97"/>
      <c r="S674" s="97"/>
      <c r="T674" s="97"/>
      <c r="U674" s="97"/>
      <c r="V674" s="97"/>
      <c r="W674" s="97"/>
      <c r="X674" s="97"/>
      <c r="Y674" s="97"/>
      <c r="Z674" s="97"/>
    </row>
    <row r="675" spans="1:26" ht="15" hidden="1">
      <c r="A675" s="97"/>
      <c r="B675" s="97"/>
      <c r="C675" s="97"/>
      <c r="D675" s="97"/>
      <c r="E675" s="97"/>
      <c r="F675" s="97"/>
      <c r="G675" s="97"/>
      <c r="H675" s="97"/>
      <c r="I675" s="97"/>
      <c r="J675" s="97"/>
      <c r="K675" s="97"/>
      <c r="L675" s="97"/>
      <c r="M675" s="97"/>
      <c r="N675" s="97"/>
      <c r="O675" s="97"/>
      <c r="P675" s="97"/>
      <c r="Q675" s="97"/>
      <c r="R675" s="97"/>
      <c r="S675" s="97"/>
      <c r="T675" s="97"/>
      <c r="U675" s="97"/>
      <c r="V675" s="97"/>
      <c r="W675" s="97"/>
      <c r="X675" s="97"/>
      <c r="Y675" s="97"/>
      <c r="Z675" s="97"/>
    </row>
    <row r="676" spans="1:26" ht="15" hidden="1">
      <c r="A676" s="97"/>
      <c r="B676" s="97"/>
      <c r="C676" s="97"/>
      <c r="D676" s="97"/>
      <c r="E676" s="97"/>
      <c r="F676" s="97"/>
      <c r="G676" s="97"/>
      <c r="H676" s="97"/>
      <c r="I676" s="97"/>
      <c r="J676" s="97"/>
      <c r="K676" s="97"/>
      <c r="L676" s="97"/>
      <c r="M676" s="97"/>
      <c r="N676" s="97"/>
      <c r="O676" s="97"/>
      <c r="P676" s="97"/>
      <c r="Q676" s="97"/>
      <c r="R676" s="97"/>
      <c r="S676" s="97"/>
      <c r="T676" s="97"/>
      <c r="U676" s="97"/>
      <c r="V676" s="97"/>
      <c r="W676" s="97"/>
      <c r="X676" s="97"/>
      <c r="Y676" s="97"/>
      <c r="Z676" s="97"/>
    </row>
    <row r="677" spans="1:26" ht="15" hidden="1">
      <c r="A677" s="97"/>
      <c r="B677" s="97"/>
      <c r="C677" s="97"/>
      <c r="D677" s="97"/>
      <c r="E677" s="97"/>
      <c r="F677" s="97"/>
      <c r="G677" s="97"/>
      <c r="H677" s="97"/>
      <c r="I677" s="97"/>
      <c r="J677" s="97"/>
      <c r="K677" s="97"/>
      <c r="L677" s="97"/>
      <c r="M677" s="97"/>
      <c r="N677" s="97"/>
      <c r="O677" s="97"/>
      <c r="P677" s="97"/>
      <c r="Q677" s="97"/>
      <c r="R677" s="97"/>
      <c r="S677" s="97"/>
      <c r="T677" s="97"/>
      <c r="U677" s="97"/>
      <c r="V677" s="97"/>
      <c r="W677" s="97"/>
      <c r="X677" s="97"/>
      <c r="Y677" s="97"/>
      <c r="Z677" s="97"/>
    </row>
    <row r="678" spans="1:26" ht="15" hidden="1">
      <c r="A678" s="97"/>
      <c r="B678" s="97"/>
      <c r="C678" s="97"/>
      <c r="D678" s="97"/>
      <c r="E678" s="97"/>
      <c r="F678" s="97"/>
      <c r="G678" s="97"/>
      <c r="H678" s="97"/>
      <c r="I678" s="97"/>
      <c r="J678" s="97"/>
      <c r="K678" s="97"/>
      <c r="L678" s="97"/>
      <c r="M678" s="97"/>
      <c r="N678" s="97"/>
      <c r="O678" s="97"/>
      <c r="P678" s="97"/>
      <c r="Q678" s="97"/>
      <c r="R678" s="97"/>
      <c r="S678" s="97"/>
      <c r="T678" s="97"/>
      <c r="U678" s="97"/>
      <c r="V678" s="97"/>
      <c r="W678" s="97"/>
      <c r="X678" s="97"/>
      <c r="Y678" s="97"/>
      <c r="Z678" s="97"/>
    </row>
    <row r="679" spans="1:26" ht="15" hidden="1">
      <c r="A679" s="97"/>
      <c r="B679" s="97"/>
      <c r="C679" s="97"/>
      <c r="D679" s="97"/>
      <c r="E679" s="97"/>
      <c r="F679" s="97"/>
      <c r="G679" s="97"/>
      <c r="H679" s="97"/>
      <c r="I679" s="97"/>
      <c r="J679" s="97"/>
      <c r="K679" s="97"/>
      <c r="L679" s="97"/>
      <c r="M679" s="97"/>
      <c r="N679" s="97"/>
      <c r="O679" s="97"/>
      <c r="P679" s="97"/>
      <c r="Q679" s="97"/>
      <c r="R679" s="97"/>
      <c r="S679" s="97"/>
      <c r="T679" s="97"/>
      <c r="U679" s="97"/>
      <c r="V679" s="97"/>
      <c r="W679" s="97"/>
      <c r="X679" s="97"/>
      <c r="Y679" s="97"/>
      <c r="Z679" s="97"/>
    </row>
    <row r="680" spans="1:26" ht="15" hidden="1">
      <c r="A680" s="97"/>
      <c r="B680" s="97"/>
      <c r="C680" s="97"/>
      <c r="D680" s="97"/>
      <c r="E680" s="97"/>
      <c r="F680" s="97"/>
      <c r="G680" s="97"/>
      <c r="H680" s="97"/>
      <c r="I680" s="97"/>
      <c r="J680" s="97"/>
      <c r="K680" s="97"/>
      <c r="L680" s="97"/>
      <c r="M680" s="97"/>
      <c r="N680" s="97"/>
      <c r="O680" s="97"/>
      <c r="P680" s="97"/>
      <c r="Q680" s="97"/>
      <c r="R680" s="97"/>
      <c r="S680" s="97"/>
      <c r="T680" s="97"/>
      <c r="U680" s="97"/>
      <c r="V680" s="97"/>
      <c r="W680" s="97"/>
      <c r="X680" s="97"/>
      <c r="Y680" s="97"/>
      <c r="Z680" s="97"/>
    </row>
    <row r="681" spans="1:26" ht="15" hidden="1">
      <c r="A681" s="97"/>
      <c r="B681" s="97"/>
      <c r="C681" s="97"/>
      <c r="D681" s="97"/>
      <c r="E681" s="97"/>
      <c r="F681" s="97"/>
      <c r="G681" s="97"/>
      <c r="H681" s="97"/>
      <c r="I681" s="97"/>
      <c r="J681" s="97"/>
      <c r="K681" s="97"/>
      <c r="L681" s="97"/>
      <c r="M681" s="97"/>
      <c r="N681" s="97"/>
      <c r="O681" s="97"/>
      <c r="P681" s="97"/>
      <c r="Q681" s="97"/>
      <c r="R681" s="97"/>
      <c r="S681" s="97"/>
      <c r="T681" s="97"/>
      <c r="U681" s="97"/>
      <c r="V681" s="97"/>
      <c r="W681" s="97"/>
      <c r="X681" s="97"/>
      <c r="Y681" s="97"/>
      <c r="Z681" s="97"/>
    </row>
    <row r="682" spans="1:26" ht="15" hidden="1">
      <c r="A682" s="97"/>
      <c r="B682" s="97"/>
      <c r="C682" s="97"/>
      <c r="D682" s="97"/>
      <c r="E682" s="97"/>
      <c r="F682" s="97"/>
      <c r="G682" s="97"/>
      <c r="H682" s="97"/>
      <c r="I682" s="97"/>
      <c r="J682" s="97"/>
      <c r="K682" s="97"/>
      <c r="L682" s="97"/>
      <c r="M682" s="97"/>
      <c r="N682" s="97"/>
      <c r="O682" s="97"/>
      <c r="P682" s="97"/>
      <c r="Q682" s="97"/>
      <c r="R682" s="97"/>
      <c r="S682" s="97"/>
      <c r="T682" s="97"/>
      <c r="U682" s="97"/>
      <c r="V682" s="97"/>
      <c r="W682" s="97"/>
      <c r="X682" s="97"/>
      <c r="Y682" s="97"/>
      <c r="Z682" s="97"/>
    </row>
    <row r="683" spans="1:26" ht="15" hidden="1">
      <c r="A683" s="97"/>
      <c r="B683" s="97"/>
      <c r="C683" s="97"/>
      <c r="D683" s="97"/>
      <c r="E683" s="97"/>
      <c r="F683" s="97"/>
      <c r="G683" s="97"/>
      <c r="H683" s="97"/>
      <c r="I683" s="97"/>
      <c r="J683" s="97"/>
      <c r="K683" s="97"/>
      <c r="L683" s="97"/>
      <c r="M683" s="97"/>
      <c r="N683" s="97"/>
      <c r="O683" s="97"/>
      <c r="P683" s="97"/>
      <c r="Q683" s="97"/>
      <c r="R683" s="97"/>
      <c r="S683" s="97"/>
      <c r="T683" s="97"/>
      <c r="U683" s="97"/>
      <c r="V683" s="97"/>
      <c r="W683" s="97"/>
      <c r="X683" s="97"/>
      <c r="Y683" s="97"/>
      <c r="Z683" s="97"/>
    </row>
    <row r="684" spans="1:26" ht="15" hidden="1">
      <c r="A684" s="97"/>
      <c r="B684" s="97"/>
      <c r="C684" s="97"/>
      <c r="D684" s="97"/>
      <c r="E684" s="97"/>
      <c r="F684" s="97"/>
      <c r="G684" s="97"/>
      <c r="H684" s="97"/>
      <c r="I684" s="97"/>
      <c r="J684" s="97"/>
      <c r="K684" s="97"/>
      <c r="L684" s="97"/>
      <c r="M684" s="97"/>
      <c r="N684" s="97"/>
      <c r="O684" s="97"/>
      <c r="P684" s="97"/>
      <c r="Q684" s="97"/>
      <c r="R684" s="97"/>
      <c r="S684" s="97"/>
      <c r="T684" s="97"/>
      <c r="U684" s="97"/>
      <c r="V684" s="97"/>
      <c r="W684" s="97"/>
      <c r="X684" s="97"/>
      <c r="Y684" s="97"/>
      <c r="Z684" s="97"/>
    </row>
    <row r="685" spans="1:26" ht="15" hidden="1">
      <c r="A685" s="97"/>
      <c r="B685" s="97"/>
      <c r="C685" s="97"/>
      <c r="D685" s="97"/>
      <c r="E685" s="97"/>
      <c r="F685" s="97"/>
      <c r="G685" s="97"/>
      <c r="H685" s="97"/>
      <c r="I685" s="97"/>
      <c r="J685" s="97"/>
      <c r="K685" s="97"/>
      <c r="L685" s="97"/>
      <c r="M685" s="97"/>
      <c r="N685" s="97"/>
      <c r="O685" s="97"/>
      <c r="P685" s="97"/>
      <c r="Q685" s="97"/>
      <c r="R685" s="97"/>
      <c r="S685" s="97"/>
      <c r="T685" s="97"/>
      <c r="U685" s="97"/>
      <c r="V685" s="97"/>
      <c r="W685" s="97"/>
      <c r="X685" s="97"/>
      <c r="Y685" s="97"/>
      <c r="Z685" s="97"/>
    </row>
    <row r="686" spans="1:26" ht="15" hidden="1">
      <c r="A686" s="97"/>
      <c r="B686" s="97"/>
      <c r="C686" s="97"/>
      <c r="D686" s="97"/>
      <c r="E686" s="97"/>
      <c r="F686" s="97"/>
      <c r="G686" s="97"/>
      <c r="H686" s="97"/>
      <c r="I686" s="97"/>
      <c r="J686" s="97"/>
      <c r="K686" s="97"/>
      <c r="L686" s="97"/>
      <c r="M686" s="97"/>
      <c r="N686" s="97"/>
      <c r="O686" s="97"/>
      <c r="P686" s="97"/>
      <c r="Q686" s="97"/>
      <c r="R686" s="97"/>
      <c r="S686" s="97"/>
      <c r="T686" s="97"/>
      <c r="U686" s="97"/>
      <c r="V686" s="97"/>
      <c r="W686" s="97"/>
      <c r="X686" s="97"/>
      <c r="Y686" s="97"/>
      <c r="Z686" s="97"/>
    </row>
    <row r="687" spans="1:26" ht="15" hidden="1">
      <c r="A687" s="97"/>
      <c r="B687" s="97"/>
      <c r="C687" s="97"/>
      <c r="D687" s="97"/>
      <c r="E687" s="97"/>
      <c r="F687" s="97"/>
      <c r="G687" s="97"/>
      <c r="H687" s="97"/>
      <c r="I687" s="97"/>
      <c r="J687" s="97"/>
      <c r="K687" s="97"/>
      <c r="L687" s="97"/>
      <c r="M687" s="97"/>
      <c r="N687" s="97"/>
      <c r="O687" s="97"/>
      <c r="P687" s="97"/>
      <c r="Q687" s="97"/>
      <c r="R687" s="97"/>
      <c r="S687" s="97"/>
      <c r="T687" s="97"/>
      <c r="U687" s="97"/>
      <c r="V687" s="97"/>
      <c r="W687" s="97"/>
      <c r="X687" s="97"/>
      <c r="Y687" s="97"/>
      <c r="Z687" s="97"/>
    </row>
    <row r="688" spans="1:26" ht="15" hidden="1">
      <c r="A688" s="97"/>
      <c r="B688" s="97"/>
      <c r="C688" s="97"/>
      <c r="D688" s="97"/>
      <c r="E688" s="97"/>
      <c r="F688" s="97"/>
      <c r="G688" s="97"/>
      <c r="H688" s="97"/>
      <c r="I688" s="97"/>
      <c r="J688" s="97"/>
      <c r="K688" s="97"/>
      <c r="L688" s="97"/>
      <c r="M688" s="97"/>
      <c r="N688" s="97"/>
      <c r="O688" s="97"/>
      <c r="P688" s="97"/>
      <c r="Q688" s="97"/>
      <c r="R688" s="97"/>
      <c r="S688" s="97"/>
      <c r="T688" s="97"/>
      <c r="U688" s="97"/>
      <c r="V688" s="97"/>
      <c r="W688" s="97"/>
      <c r="X688" s="97"/>
      <c r="Y688" s="97"/>
      <c r="Z688" s="97"/>
    </row>
    <row r="689" spans="1:26" ht="15" hidden="1">
      <c r="A689" s="97"/>
      <c r="B689" s="97"/>
      <c r="C689" s="97"/>
      <c r="D689" s="97"/>
      <c r="E689" s="97"/>
      <c r="F689" s="97"/>
      <c r="G689" s="97"/>
      <c r="H689" s="97"/>
      <c r="I689" s="97"/>
      <c r="J689" s="97"/>
      <c r="K689" s="97"/>
      <c r="L689" s="97"/>
      <c r="M689" s="97"/>
      <c r="N689" s="97"/>
      <c r="O689" s="97"/>
      <c r="P689" s="97"/>
      <c r="Q689" s="97"/>
      <c r="R689" s="97"/>
      <c r="S689" s="97"/>
      <c r="T689" s="97"/>
      <c r="U689" s="97"/>
      <c r="V689" s="97"/>
      <c r="W689" s="97"/>
      <c r="X689" s="97"/>
      <c r="Y689" s="97"/>
      <c r="Z689" s="97"/>
    </row>
    <row r="690" spans="1:26" ht="15" hidden="1">
      <c r="A690" s="97"/>
      <c r="B690" s="97"/>
      <c r="C690" s="97"/>
      <c r="D690" s="97"/>
      <c r="E690" s="97"/>
      <c r="F690" s="97"/>
      <c r="G690" s="97"/>
      <c r="H690" s="97"/>
      <c r="I690" s="97"/>
      <c r="J690" s="97"/>
      <c r="K690" s="97"/>
      <c r="L690" s="97"/>
      <c r="M690" s="97"/>
      <c r="N690" s="97"/>
      <c r="O690" s="97"/>
      <c r="P690" s="97"/>
      <c r="Q690" s="97"/>
      <c r="R690" s="97"/>
      <c r="S690" s="97"/>
      <c r="T690" s="97"/>
      <c r="U690" s="97"/>
      <c r="V690" s="97"/>
      <c r="W690" s="97"/>
      <c r="X690" s="97"/>
      <c r="Y690" s="97"/>
      <c r="Z690" s="97"/>
    </row>
    <row r="691" spans="1:26" ht="15" hidden="1">
      <c r="A691" s="97"/>
      <c r="B691" s="97"/>
      <c r="C691" s="97"/>
      <c r="D691" s="97"/>
      <c r="E691" s="97"/>
      <c r="F691" s="97"/>
      <c r="G691" s="97"/>
      <c r="H691" s="97"/>
      <c r="I691" s="97"/>
      <c r="J691" s="97"/>
      <c r="K691" s="97"/>
      <c r="L691" s="97"/>
      <c r="M691" s="97"/>
      <c r="N691" s="97"/>
      <c r="O691" s="97"/>
      <c r="P691" s="97"/>
      <c r="Q691" s="97"/>
      <c r="R691" s="97"/>
      <c r="S691" s="97"/>
      <c r="T691" s="97"/>
      <c r="U691" s="97"/>
      <c r="V691" s="97"/>
      <c r="W691" s="97"/>
      <c r="X691" s="97"/>
      <c r="Y691" s="97"/>
      <c r="Z691" s="97"/>
    </row>
    <row r="692" spans="1:26" ht="15" hidden="1">
      <c r="A692" s="97"/>
      <c r="B692" s="97"/>
      <c r="C692" s="97"/>
      <c r="D692" s="97"/>
      <c r="E692" s="97"/>
      <c r="F692" s="97"/>
      <c r="G692" s="97"/>
      <c r="H692" s="97"/>
      <c r="I692" s="97"/>
      <c r="J692" s="97"/>
      <c r="K692" s="97"/>
      <c r="L692" s="97"/>
      <c r="M692" s="97"/>
      <c r="N692" s="97"/>
      <c r="O692" s="97"/>
      <c r="P692" s="97"/>
      <c r="Q692" s="97"/>
      <c r="R692" s="97"/>
      <c r="S692" s="97"/>
      <c r="T692" s="97"/>
      <c r="U692" s="97"/>
      <c r="V692" s="97"/>
      <c r="W692" s="97"/>
      <c r="X692" s="97"/>
      <c r="Y692" s="97"/>
      <c r="Z692" s="97"/>
    </row>
    <row r="693" spans="1:26" ht="15" hidden="1">
      <c r="A693" s="97"/>
      <c r="B693" s="97"/>
      <c r="C693" s="97"/>
      <c r="D693" s="97"/>
      <c r="E693" s="97"/>
      <c r="F693" s="97"/>
      <c r="G693" s="97"/>
      <c r="H693" s="97"/>
      <c r="I693" s="97"/>
      <c r="J693" s="97"/>
      <c r="K693" s="97"/>
      <c r="L693" s="97"/>
      <c r="M693" s="97"/>
      <c r="N693" s="97"/>
      <c r="O693" s="97"/>
      <c r="P693" s="97"/>
      <c r="Q693" s="97"/>
      <c r="R693" s="97"/>
      <c r="S693" s="97"/>
      <c r="T693" s="97"/>
      <c r="U693" s="97"/>
      <c r="V693" s="97"/>
      <c r="W693" s="97"/>
      <c r="X693" s="97"/>
      <c r="Y693" s="97"/>
      <c r="Z693" s="97"/>
    </row>
    <row r="694" spans="1:26" ht="15" hidden="1">
      <c r="A694" s="97"/>
      <c r="B694" s="97"/>
      <c r="C694" s="97"/>
      <c r="D694" s="97"/>
      <c r="E694" s="97"/>
      <c r="F694" s="97"/>
      <c r="G694" s="97"/>
      <c r="H694" s="97"/>
      <c r="I694" s="97"/>
      <c r="J694" s="97"/>
      <c r="K694" s="97"/>
      <c r="L694" s="97"/>
      <c r="M694" s="97"/>
      <c r="N694" s="97"/>
      <c r="O694" s="97"/>
      <c r="P694" s="97"/>
      <c r="Q694" s="97"/>
      <c r="R694" s="97"/>
      <c r="S694" s="97"/>
      <c r="T694" s="97"/>
      <c r="U694" s="97"/>
      <c r="V694" s="97"/>
      <c r="W694" s="97"/>
      <c r="X694" s="97"/>
      <c r="Y694" s="97"/>
      <c r="Z694" s="97"/>
    </row>
    <row r="695" spans="1:26" ht="15" hidden="1">
      <c r="A695" s="97"/>
      <c r="B695" s="97"/>
      <c r="C695" s="97"/>
      <c r="D695" s="97"/>
      <c r="E695" s="97"/>
      <c r="F695" s="97"/>
      <c r="G695" s="97"/>
      <c r="H695" s="97"/>
      <c r="I695" s="97"/>
      <c r="J695" s="97"/>
      <c r="K695" s="97"/>
      <c r="L695" s="97"/>
      <c r="M695" s="97"/>
      <c r="N695" s="97"/>
      <c r="O695" s="97"/>
      <c r="P695" s="97"/>
      <c r="Q695" s="97"/>
      <c r="R695" s="97"/>
      <c r="S695" s="97"/>
      <c r="T695" s="97"/>
      <c r="U695" s="97"/>
      <c r="V695" s="97"/>
      <c r="W695" s="97"/>
      <c r="X695" s="97"/>
      <c r="Y695" s="97"/>
      <c r="Z695" s="97"/>
    </row>
    <row r="696" spans="1:26" ht="15" hidden="1">
      <c r="A696" s="97"/>
      <c r="B696" s="97"/>
      <c r="C696" s="97"/>
      <c r="D696" s="97"/>
      <c r="E696" s="97"/>
      <c r="F696" s="97"/>
      <c r="G696" s="97"/>
      <c r="H696" s="97"/>
      <c r="I696" s="97"/>
      <c r="J696" s="97"/>
      <c r="K696" s="97"/>
      <c r="L696" s="97"/>
      <c r="M696" s="97"/>
      <c r="N696" s="97"/>
      <c r="O696" s="97"/>
      <c r="P696" s="97"/>
      <c r="Q696" s="97"/>
      <c r="R696" s="97"/>
      <c r="S696" s="97"/>
      <c r="T696" s="97"/>
      <c r="U696" s="97"/>
      <c r="V696" s="97"/>
      <c r="W696" s="97"/>
      <c r="X696" s="97"/>
      <c r="Y696" s="97"/>
      <c r="Z696" s="97"/>
    </row>
    <row r="697" spans="1:26" ht="15" hidden="1">
      <c r="A697" s="97"/>
      <c r="B697" s="97"/>
      <c r="C697" s="97"/>
      <c r="D697" s="97"/>
      <c r="E697" s="97"/>
      <c r="F697" s="97"/>
      <c r="G697" s="97"/>
      <c r="H697" s="97"/>
      <c r="I697" s="97"/>
      <c r="J697" s="97"/>
      <c r="K697" s="97"/>
      <c r="L697" s="97"/>
      <c r="M697" s="97"/>
      <c r="N697" s="97"/>
      <c r="O697" s="97"/>
      <c r="P697" s="97"/>
      <c r="Q697" s="97"/>
      <c r="R697" s="97"/>
      <c r="S697" s="97"/>
      <c r="T697" s="97"/>
      <c r="U697" s="97"/>
      <c r="V697" s="97"/>
      <c r="W697" s="97"/>
      <c r="X697" s="97"/>
      <c r="Y697" s="97"/>
      <c r="Z697" s="97"/>
    </row>
    <row r="698" spans="1:26" ht="15" hidden="1">
      <c r="A698" s="97"/>
      <c r="B698" s="97"/>
      <c r="C698" s="97"/>
      <c r="D698" s="97"/>
      <c r="E698" s="97"/>
      <c r="F698" s="97"/>
      <c r="G698" s="97"/>
      <c r="H698" s="97"/>
      <c r="I698" s="97"/>
      <c r="J698" s="97"/>
      <c r="K698" s="97"/>
      <c r="L698" s="97"/>
      <c r="M698" s="97"/>
      <c r="N698" s="97"/>
      <c r="O698" s="97"/>
      <c r="P698" s="97"/>
      <c r="Q698" s="97"/>
      <c r="R698" s="97"/>
      <c r="S698" s="97"/>
      <c r="T698" s="97"/>
      <c r="U698" s="97"/>
      <c r="V698" s="97"/>
      <c r="W698" s="97"/>
      <c r="X698" s="97"/>
      <c r="Y698" s="97"/>
      <c r="Z698" s="97"/>
    </row>
    <row r="699" spans="1:26" ht="15" hidden="1">
      <c r="A699" s="97"/>
      <c r="B699" s="97"/>
      <c r="C699" s="97"/>
      <c r="D699" s="97"/>
      <c r="E699" s="97"/>
      <c r="F699" s="97"/>
      <c r="G699" s="97"/>
      <c r="H699" s="97"/>
      <c r="I699" s="97"/>
      <c r="J699" s="97"/>
      <c r="K699" s="97"/>
      <c r="L699" s="97"/>
      <c r="M699" s="97"/>
      <c r="N699" s="97"/>
      <c r="O699" s="97"/>
      <c r="P699" s="97"/>
      <c r="Q699" s="97"/>
      <c r="R699" s="97"/>
      <c r="S699" s="97"/>
      <c r="T699" s="97"/>
      <c r="U699" s="97"/>
      <c r="V699" s="97"/>
      <c r="W699" s="97"/>
      <c r="X699" s="97"/>
      <c r="Y699" s="97"/>
      <c r="Z699" s="97"/>
    </row>
    <row r="700" spans="1:26" ht="15" hidden="1">
      <c r="A700" s="97"/>
      <c r="B700" s="97"/>
      <c r="C700" s="97"/>
      <c r="D700" s="97"/>
      <c r="E700" s="97"/>
      <c r="F700" s="97"/>
      <c r="G700" s="97"/>
      <c r="H700" s="97"/>
      <c r="I700" s="97"/>
      <c r="J700" s="97"/>
      <c r="K700" s="97"/>
      <c r="L700" s="97"/>
      <c r="M700" s="97"/>
      <c r="N700" s="97"/>
      <c r="O700" s="97"/>
      <c r="P700" s="97"/>
      <c r="Q700" s="97"/>
      <c r="R700" s="97"/>
      <c r="S700" s="97"/>
      <c r="T700" s="97"/>
      <c r="U700" s="97"/>
      <c r="V700" s="97"/>
      <c r="W700" s="97"/>
      <c r="X700" s="97"/>
      <c r="Y700" s="97"/>
      <c r="Z700" s="97"/>
    </row>
    <row r="701" spans="1:26" ht="15" hidden="1">
      <c r="A701" s="97"/>
      <c r="B701" s="97"/>
      <c r="C701" s="97"/>
      <c r="D701" s="97"/>
      <c r="E701" s="97"/>
      <c r="F701" s="97"/>
      <c r="G701" s="97"/>
      <c r="H701" s="97"/>
      <c r="I701" s="97"/>
      <c r="J701" s="97"/>
      <c r="K701" s="97"/>
      <c r="L701" s="97"/>
      <c r="M701" s="97"/>
      <c r="N701" s="97"/>
      <c r="O701" s="97"/>
      <c r="P701" s="97"/>
      <c r="Q701" s="97"/>
      <c r="R701" s="97"/>
      <c r="S701" s="97"/>
      <c r="T701" s="97"/>
      <c r="U701" s="97"/>
      <c r="V701" s="97"/>
      <c r="W701" s="97"/>
      <c r="X701" s="97"/>
      <c r="Y701" s="97"/>
      <c r="Z701" s="97"/>
    </row>
    <row r="702" spans="1:26" ht="15" hidden="1">
      <c r="A702" s="97"/>
      <c r="B702" s="97"/>
      <c r="C702" s="97"/>
      <c r="D702" s="97"/>
      <c r="E702" s="97"/>
      <c r="F702" s="97"/>
      <c r="G702" s="97"/>
      <c r="H702" s="97"/>
      <c r="I702" s="97"/>
      <c r="J702" s="97"/>
      <c r="K702" s="97"/>
      <c r="L702" s="97"/>
      <c r="M702" s="97"/>
      <c r="N702" s="97"/>
      <c r="O702" s="97"/>
      <c r="P702" s="97"/>
      <c r="Q702" s="97"/>
      <c r="R702" s="97"/>
      <c r="S702" s="97"/>
      <c r="T702" s="97"/>
      <c r="U702" s="97"/>
      <c r="V702" s="97"/>
      <c r="W702" s="97"/>
      <c r="X702" s="97"/>
      <c r="Y702" s="97"/>
      <c r="Z702" s="97"/>
    </row>
    <row r="703" spans="1:26" ht="15" hidden="1">
      <c r="A703" s="97"/>
      <c r="B703" s="97"/>
      <c r="C703" s="97"/>
      <c r="D703" s="97"/>
      <c r="E703" s="97"/>
      <c r="F703" s="97"/>
      <c r="G703" s="97"/>
      <c r="H703" s="97"/>
      <c r="I703" s="97"/>
      <c r="J703" s="97"/>
      <c r="K703" s="97"/>
      <c r="L703" s="97"/>
      <c r="M703" s="97"/>
      <c r="N703" s="97"/>
      <c r="O703" s="97"/>
      <c r="P703" s="97"/>
      <c r="Q703" s="97"/>
      <c r="R703" s="97"/>
      <c r="S703" s="97"/>
      <c r="T703" s="97"/>
      <c r="U703" s="97"/>
      <c r="V703" s="97"/>
      <c r="W703" s="97"/>
      <c r="X703" s="97"/>
      <c r="Y703" s="97"/>
      <c r="Z703" s="97"/>
    </row>
    <row r="704" spans="1:26" ht="15" hidden="1">
      <c r="A704" s="97"/>
      <c r="B704" s="97"/>
      <c r="C704" s="97"/>
      <c r="D704" s="97"/>
      <c r="E704" s="97"/>
      <c r="F704" s="97"/>
      <c r="G704" s="97"/>
      <c r="H704" s="97"/>
      <c r="I704" s="97"/>
      <c r="J704" s="97"/>
      <c r="K704" s="97"/>
      <c r="L704" s="97"/>
      <c r="M704" s="97"/>
      <c r="N704" s="97"/>
      <c r="O704" s="97"/>
      <c r="P704" s="97"/>
      <c r="Q704" s="97"/>
      <c r="R704" s="97"/>
      <c r="S704" s="97"/>
      <c r="T704" s="97"/>
      <c r="U704" s="97"/>
      <c r="V704" s="97"/>
      <c r="W704" s="97"/>
      <c r="X704" s="97"/>
      <c r="Y704" s="97"/>
      <c r="Z704" s="97"/>
    </row>
    <row r="705" spans="1:26" ht="15" hidden="1">
      <c r="A705" s="97"/>
      <c r="B705" s="97"/>
      <c r="C705" s="97"/>
      <c r="D705" s="97"/>
      <c r="E705" s="97"/>
      <c r="F705" s="97"/>
      <c r="G705" s="97"/>
      <c r="H705" s="97"/>
      <c r="I705" s="97"/>
      <c r="J705" s="97"/>
      <c r="K705" s="97"/>
      <c r="L705" s="97"/>
      <c r="M705" s="97"/>
      <c r="N705" s="97"/>
      <c r="O705" s="97"/>
      <c r="P705" s="97"/>
      <c r="Q705" s="97"/>
      <c r="R705" s="97"/>
      <c r="S705" s="97"/>
      <c r="T705" s="97"/>
      <c r="U705" s="97"/>
      <c r="V705" s="97"/>
      <c r="W705" s="97"/>
      <c r="X705" s="97"/>
      <c r="Y705" s="97"/>
      <c r="Z705" s="97"/>
    </row>
    <row r="706" spans="1:26" ht="15" hidden="1">
      <c r="A706" s="97"/>
      <c r="B706" s="97"/>
      <c r="C706" s="97"/>
      <c r="D706" s="97"/>
      <c r="E706" s="97"/>
      <c r="F706" s="97"/>
      <c r="G706" s="97"/>
      <c r="H706" s="97"/>
      <c r="I706" s="97"/>
      <c r="J706" s="97"/>
      <c r="K706" s="97"/>
      <c r="L706" s="97"/>
      <c r="M706" s="97"/>
      <c r="N706" s="97"/>
      <c r="O706" s="97"/>
      <c r="P706" s="97"/>
      <c r="Q706" s="97"/>
      <c r="R706" s="97"/>
      <c r="S706" s="97"/>
      <c r="T706" s="97"/>
      <c r="U706" s="97"/>
      <c r="V706" s="97"/>
      <c r="W706" s="97"/>
      <c r="X706" s="97"/>
      <c r="Y706" s="97"/>
      <c r="Z706" s="97"/>
    </row>
    <row r="707" spans="1:26" ht="15" hidden="1">
      <c r="A707" s="97"/>
      <c r="B707" s="97"/>
      <c r="C707" s="97"/>
      <c r="D707" s="97"/>
      <c r="E707" s="97"/>
      <c r="F707" s="97"/>
      <c r="G707" s="97"/>
      <c r="H707" s="97"/>
      <c r="I707" s="97"/>
      <c r="J707" s="97"/>
      <c r="K707" s="97"/>
      <c r="L707" s="97"/>
      <c r="M707" s="97"/>
      <c r="N707" s="97"/>
      <c r="O707" s="97"/>
      <c r="P707" s="97"/>
      <c r="Q707" s="97"/>
      <c r="R707" s="97"/>
      <c r="S707" s="97"/>
      <c r="T707" s="97"/>
      <c r="U707" s="97"/>
      <c r="V707" s="97"/>
      <c r="W707" s="97"/>
      <c r="X707" s="97"/>
      <c r="Y707" s="97"/>
      <c r="Z707" s="97"/>
    </row>
    <row r="708" spans="1:26" ht="15" hidden="1">
      <c r="A708" s="97"/>
      <c r="B708" s="97"/>
      <c r="C708" s="97"/>
      <c r="D708" s="97"/>
      <c r="E708" s="97"/>
      <c r="F708" s="97"/>
      <c r="G708" s="97"/>
      <c r="H708" s="97"/>
      <c r="I708" s="97"/>
      <c r="J708" s="97"/>
      <c r="K708" s="97"/>
      <c r="L708" s="97"/>
      <c r="M708" s="97"/>
      <c r="N708" s="97"/>
      <c r="O708" s="97"/>
      <c r="P708" s="97"/>
      <c r="Q708" s="97"/>
      <c r="R708" s="97"/>
      <c r="S708" s="97"/>
      <c r="T708" s="97"/>
      <c r="U708" s="97"/>
      <c r="V708" s="97"/>
      <c r="W708" s="97"/>
      <c r="X708" s="97"/>
      <c r="Y708" s="97"/>
      <c r="Z708" s="97"/>
    </row>
    <row r="709" spans="1:26" ht="15" hidden="1">
      <c r="A709" s="97"/>
      <c r="B709" s="97"/>
      <c r="C709" s="97"/>
      <c r="D709" s="97"/>
      <c r="E709" s="97"/>
      <c r="F709" s="97"/>
      <c r="G709" s="97"/>
      <c r="H709" s="97"/>
      <c r="I709" s="97"/>
      <c r="J709" s="97"/>
      <c r="K709" s="97"/>
      <c r="L709" s="97"/>
      <c r="M709" s="97"/>
      <c r="N709" s="97"/>
      <c r="O709" s="97"/>
      <c r="P709" s="97"/>
      <c r="Q709" s="97"/>
      <c r="R709" s="97"/>
      <c r="S709" s="97"/>
      <c r="T709" s="97"/>
      <c r="U709" s="97"/>
      <c r="V709" s="97"/>
      <c r="W709" s="97"/>
      <c r="X709" s="97"/>
      <c r="Y709" s="97"/>
      <c r="Z709" s="97"/>
    </row>
    <row r="710" spans="1:26" ht="15" hidden="1">
      <c r="A710" s="97"/>
      <c r="B710" s="97"/>
      <c r="C710" s="97"/>
      <c r="D710" s="97"/>
      <c r="E710" s="97"/>
      <c r="F710" s="97"/>
      <c r="G710" s="97"/>
      <c r="H710" s="97"/>
      <c r="I710" s="97"/>
      <c r="J710" s="97"/>
      <c r="K710" s="97"/>
      <c r="L710" s="97"/>
      <c r="M710" s="97"/>
      <c r="N710" s="97"/>
      <c r="O710" s="97"/>
      <c r="P710" s="97"/>
      <c r="Q710" s="97"/>
      <c r="R710" s="97"/>
      <c r="S710" s="97"/>
      <c r="T710" s="97"/>
      <c r="U710" s="97"/>
      <c r="V710" s="97"/>
      <c r="W710" s="97"/>
      <c r="X710" s="97"/>
      <c r="Y710" s="97"/>
      <c r="Z710" s="97"/>
    </row>
    <row r="711" spans="1:26" ht="15" hidden="1">
      <c r="A711" s="97"/>
      <c r="B711" s="97"/>
      <c r="C711" s="97"/>
      <c r="D711" s="97"/>
      <c r="E711" s="97"/>
      <c r="F711" s="97"/>
      <c r="G711" s="97"/>
      <c r="H711" s="97"/>
      <c r="I711" s="97"/>
      <c r="J711" s="97"/>
      <c r="K711" s="97"/>
      <c r="L711" s="97"/>
      <c r="M711" s="97"/>
      <c r="N711" s="97"/>
      <c r="O711" s="97"/>
      <c r="P711" s="97"/>
      <c r="Q711" s="97"/>
      <c r="R711" s="97"/>
      <c r="S711" s="97"/>
      <c r="T711" s="97"/>
      <c r="U711" s="97"/>
      <c r="V711" s="97"/>
      <c r="W711" s="97"/>
      <c r="X711" s="97"/>
      <c r="Y711" s="97"/>
      <c r="Z711" s="97"/>
    </row>
    <row r="712" spans="1:26" ht="15" hidden="1">
      <c r="A712" s="97"/>
      <c r="B712" s="97"/>
      <c r="C712" s="97"/>
      <c r="D712" s="97"/>
      <c r="E712" s="97"/>
      <c r="F712" s="97"/>
      <c r="G712" s="97"/>
      <c r="H712" s="97"/>
      <c r="I712" s="97"/>
      <c r="J712" s="97"/>
      <c r="K712" s="97"/>
      <c r="L712" s="97"/>
      <c r="M712" s="97"/>
      <c r="N712" s="97"/>
      <c r="O712" s="97"/>
      <c r="P712" s="97"/>
      <c r="Q712" s="97"/>
      <c r="R712" s="97"/>
      <c r="S712" s="97"/>
      <c r="T712" s="97"/>
      <c r="U712" s="97"/>
      <c r="V712" s="97"/>
      <c r="W712" s="97"/>
      <c r="X712" s="97"/>
      <c r="Y712" s="97"/>
      <c r="Z712" s="97"/>
    </row>
    <row r="713" spans="1:26" ht="15" hidden="1">
      <c r="A713" s="97"/>
      <c r="B713" s="97"/>
      <c r="C713" s="97"/>
      <c r="D713" s="97"/>
      <c r="E713" s="97"/>
      <c r="F713" s="97"/>
      <c r="G713" s="97"/>
      <c r="H713" s="97"/>
      <c r="I713" s="97"/>
      <c r="J713" s="97"/>
      <c r="K713" s="97"/>
      <c r="L713" s="97"/>
      <c r="M713" s="97"/>
      <c r="N713" s="97"/>
      <c r="O713" s="97"/>
      <c r="P713" s="97"/>
      <c r="Q713" s="97"/>
      <c r="R713" s="97"/>
      <c r="S713" s="97"/>
      <c r="T713" s="97"/>
      <c r="U713" s="97"/>
      <c r="V713" s="97"/>
      <c r="W713" s="97"/>
      <c r="X713" s="97"/>
      <c r="Y713" s="97"/>
      <c r="Z713" s="97"/>
    </row>
    <row r="714" spans="1:26" ht="15" hidden="1">
      <c r="A714" s="97"/>
      <c r="B714" s="97"/>
      <c r="C714" s="97"/>
      <c r="D714" s="97"/>
      <c r="E714" s="97"/>
      <c r="F714" s="97"/>
      <c r="G714" s="97"/>
      <c r="H714" s="97"/>
      <c r="I714" s="97"/>
      <c r="J714" s="97"/>
      <c r="K714" s="97"/>
      <c r="L714" s="97"/>
      <c r="M714" s="97"/>
      <c r="N714" s="97"/>
      <c r="O714" s="97"/>
      <c r="P714" s="97"/>
      <c r="Q714" s="97"/>
      <c r="R714" s="97"/>
      <c r="S714" s="97"/>
      <c r="T714" s="97"/>
      <c r="U714" s="97"/>
      <c r="V714" s="97"/>
      <c r="W714" s="97"/>
      <c r="X714" s="97"/>
      <c r="Y714" s="97"/>
      <c r="Z714" s="97"/>
    </row>
    <row r="715" spans="1:26" ht="15" hidden="1">
      <c r="A715" s="97"/>
      <c r="B715" s="97"/>
      <c r="C715" s="97"/>
      <c r="D715" s="97"/>
      <c r="E715" s="97"/>
      <c r="F715" s="97"/>
      <c r="G715" s="97"/>
      <c r="H715" s="97"/>
      <c r="I715" s="97"/>
      <c r="J715" s="97"/>
      <c r="K715" s="97"/>
      <c r="L715" s="97"/>
      <c r="M715" s="97"/>
      <c r="N715" s="97"/>
      <c r="O715" s="97"/>
      <c r="P715" s="97"/>
      <c r="Q715" s="97"/>
      <c r="R715" s="97"/>
      <c r="S715" s="97"/>
      <c r="T715" s="97"/>
      <c r="U715" s="97"/>
      <c r="V715" s="97"/>
      <c r="W715" s="97"/>
      <c r="X715" s="97"/>
      <c r="Y715" s="97"/>
      <c r="Z715" s="97"/>
    </row>
    <row r="716" spans="1:26" ht="15" hidden="1">
      <c r="A716" s="97"/>
      <c r="B716" s="97"/>
      <c r="C716" s="97"/>
      <c r="D716" s="97"/>
      <c r="E716" s="97"/>
      <c r="F716" s="97"/>
      <c r="G716" s="97"/>
      <c r="H716" s="97"/>
      <c r="I716" s="97"/>
      <c r="J716" s="97"/>
      <c r="K716" s="97"/>
      <c r="L716" s="97"/>
      <c r="M716" s="97"/>
      <c r="N716" s="97"/>
      <c r="O716" s="97"/>
      <c r="P716" s="97"/>
      <c r="Q716" s="97"/>
      <c r="R716" s="97"/>
      <c r="S716" s="97"/>
      <c r="T716" s="97"/>
      <c r="U716" s="97"/>
      <c r="V716" s="97"/>
      <c r="W716" s="97"/>
      <c r="X716" s="97"/>
      <c r="Y716" s="97"/>
      <c r="Z716" s="97"/>
    </row>
    <row r="717" spans="1:26" ht="15" hidden="1">
      <c r="A717" s="97"/>
      <c r="B717" s="97"/>
      <c r="C717" s="97"/>
      <c r="D717" s="97"/>
      <c r="E717" s="97"/>
      <c r="F717" s="97"/>
      <c r="G717" s="97"/>
      <c r="H717" s="97"/>
      <c r="I717" s="97"/>
      <c r="J717" s="97"/>
      <c r="K717" s="97"/>
      <c r="L717" s="97"/>
      <c r="M717" s="97"/>
      <c r="N717" s="97"/>
      <c r="O717" s="97"/>
      <c r="P717" s="97"/>
      <c r="Q717" s="97"/>
      <c r="R717" s="97"/>
      <c r="S717" s="97"/>
      <c r="T717" s="97"/>
      <c r="U717" s="97"/>
      <c r="V717" s="97"/>
      <c r="W717" s="97"/>
      <c r="X717" s="97"/>
      <c r="Y717" s="97"/>
      <c r="Z717" s="97"/>
    </row>
    <row r="718" spans="1:26" ht="15" hidden="1">
      <c r="A718" s="97"/>
      <c r="B718" s="97"/>
      <c r="C718" s="97"/>
      <c r="D718" s="97"/>
      <c r="E718" s="97"/>
      <c r="F718" s="97"/>
      <c r="G718" s="97"/>
      <c r="H718" s="97"/>
      <c r="I718" s="97"/>
      <c r="J718" s="97"/>
      <c r="K718" s="97"/>
      <c r="L718" s="97"/>
      <c r="M718" s="97"/>
      <c r="N718" s="97"/>
      <c r="O718" s="97"/>
      <c r="P718" s="97"/>
      <c r="Q718" s="97"/>
      <c r="R718" s="97"/>
      <c r="S718" s="97"/>
      <c r="T718" s="97"/>
      <c r="U718" s="97"/>
      <c r="V718" s="97"/>
      <c r="W718" s="97"/>
      <c r="X718" s="97"/>
      <c r="Y718" s="97"/>
      <c r="Z718" s="97"/>
    </row>
    <row r="719" spans="1:26" ht="15" hidden="1">
      <c r="A719" s="97"/>
      <c r="B719" s="97"/>
      <c r="C719" s="97"/>
      <c r="D719" s="97"/>
      <c r="E719" s="97"/>
      <c r="F719" s="97"/>
      <c r="G719" s="97"/>
      <c r="H719" s="97"/>
      <c r="I719" s="97"/>
      <c r="J719" s="97"/>
      <c r="K719" s="97"/>
      <c r="L719" s="97"/>
      <c r="M719" s="97"/>
      <c r="N719" s="97"/>
      <c r="O719" s="97"/>
      <c r="P719" s="97"/>
      <c r="Q719" s="97"/>
      <c r="R719" s="97"/>
      <c r="S719" s="97"/>
      <c r="T719" s="97"/>
      <c r="U719" s="97"/>
      <c r="V719" s="97"/>
      <c r="W719" s="97"/>
      <c r="X719" s="97"/>
      <c r="Y719" s="97"/>
      <c r="Z719" s="97"/>
    </row>
    <row r="720" spans="1:26" ht="15" hidden="1">
      <c r="A720" s="97"/>
      <c r="B720" s="97"/>
      <c r="C720" s="97"/>
      <c r="D720" s="97"/>
      <c r="E720" s="97"/>
      <c r="F720" s="97"/>
      <c r="G720" s="97"/>
      <c r="H720" s="97"/>
      <c r="I720" s="97"/>
      <c r="J720" s="97"/>
      <c r="K720" s="97"/>
      <c r="L720" s="97"/>
      <c r="M720" s="97"/>
      <c r="N720" s="97"/>
      <c r="O720" s="97"/>
      <c r="P720" s="97"/>
      <c r="Q720" s="97"/>
      <c r="R720" s="97"/>
      <c r="S720" s="97"/>
      <c r="T720" s="97"/>
      <c r="U720" s="97"/>
      <c r="V720" s="97"/>
      <c r="W720" s="97"/>
      <c r="X720" s="97"/>
      <c r="Y720" s="97"/>
      <c r="Z720" s="97"/>
    </row>
    <row r="721" spans="1:26" ht="15" hidden="1">
      <c r="A721" s="97"/>
      <c r="B721" s="97"/>
      <c r="C721" s="97"/>
      <c r="D721" s="97"/>
      <c r="E721" s="97"/>
      <c r="F721" s="97"/>
      <c r="G721" s="97"/>
      <c r="H721" s="97"/>
      <c r="I721" s="97"/>
      <c r="J721" s="97"/>
      <c r="K721" s="97"/>
      <c r="L721" s="97"/>
      <c r="M721" s="97"/>
      <c r="N721" s="97"/>
      <c r="O721" s="97"/>
      <c r="P721" s="97"/>
      <c r="Q721" s="97"/>
      <c r="R721" s="97"/>
      <c r="S721" s="97"/>
      <c r="T721" s="97"/>
      <c r="U721" s="97"/>
      <c r="V721" s="97"/>
      <c r="W721" s="97"/>
      <c r="X721" s="97"/>
      <c r="Y721" s="97"/>
      <c r="Z721" s="97"/>
    </row>
    <row r="722" spans="1:26" ht="15" hidden="1">
      <c r="A722" s="97"/>
      <c r="B722" s="97"/>
      <c r="C722" s="97"/>
      <c r="D722" s="97"/>
      <c r="E722" s="97"/>
      <c r="F722" s="97"/>
      <c r="G722" s="97"/>
      <c r="H722" s="97"/>
      <c r="I722" s="97"/>
      <c r="J722" s="97"/>
      <c r="K722" s="97"/>
      <c r="L722" s="97"/>
      <c r="M722" s="97"/>
      <c r="N722" s="97"/>
      <c r="O722" s="97"/>
      <c r="P722" s="97"/>
      <c r="Q722" s="97"/>
      <c r="R722" s="97"/>
      <c r="S722" s="97"/>
      <c r="T722" s="97"/>
      <c r="U722" s="97"/>
      <c r="V722" s="97"/>
      <c r="W722" s="97"/>
      <c r="X722" s="97"/>
      <c r="Y722" s="97"/>
      <c r="Z722" s="97"/>
    </row>
    <row r="723" spans="1:26" ht="15" hidden="1">
      <c r="A723" s="97"/>
      <c r="B723" s="97"/>
      <c r="C723" s="97"/>
      <c r="D723" s="97"/>
      <c r="E723" s="97"/>
      <c r="F723" s="97"/>
      <c r="G723" s="97"/>
      <c r="H723" s="97"/>
      <c r="I723" s="97"/>
      <c r="J723" s="97"/>
      <c r="K723" s="97"/>
      <c r="L723" s="97"/>
      <c r="M723" s="97"/>
      <c r="N723" s="97"/>
      <c r="O723" s="97"/>
      <c r="P723" s="97"/>
      <c r="Q723" s="97"/>
      <c r="R723" s="97"/>
      <c r="S723" s="97"/>
      <c r="T723" s="97"/>
      <c r="U723" s="97"/>
      <c r="V723" s="97"/>
      <c r="W723" s="97"/>
      <c r="X723" s="97"/>
      <c r="Y723" s="97"/>
      <c r="Z723" s="97"/>
    </row>
    <row r="724" spans="1:26" ht="15" hidden="1">
      <c r="A724" s="97"/>
      <c r="B724" s="97"/>
      <c r="C724" s="97"/>
      <c r="D724" s="97"/>
      <c r="E724" s="97"/>
      <c r="F724" s="97"/>
      <c r="G724" s="97"/>
      <c r="H724" s="97"/>
      <c r="I724" s="97"/>
      <c r="J724" s="97"/>
      <c r="K724" s="97"/>
      <c r="L724" s="97"/>
      <c r="M724" s="97"/>
      <c r="N724" s="97"/>
      <c r="O724" s="97"/>
      <c r="P724" s="97"/>
      <c r="Q724" s="97"/>
      <c r="R724" s="97"/>
      <c r="S724" s="97"/>
      <c r="T724" s="97"/>
      <c r="U724" s="97"/>
      <c r="V724" s="97"/>
      <c r="W724" s="97"/>
      <c r="X724" s="97"/>
      <c r="Y724" s="97"/>
      <c r="Z724" s="97"/>
    </row>
    <row r="725" spans="1:26" ht="15" hidden="1">
      <c r="A725" s="97"/>
      <c r="B725" s="97"/>
      <c r="C725" s="97"/>
      <c r="D725" s="97"/>
      <c r="E725" s="97"/>
      <c r="F725" s="97"/>
      <c r="G725" s="97"/>
      <c r="H725" s="97"/>
      <c r="I725" s="97"/>
      <c r="J725" s="97"/>
      <c r="K725" s="97"/>
      <c r="L725" s="97"/>
      <c r="M725" s="97"/>
      <c r="N725" s="97"/>
      <c r="O725" s="97"/>
      <c r="P725" s="97"/>
      <c r="Q725" s="97"/>
      <c r="R725" s="97"/>
      <c r="S725" s="97"/>
      <c r="T725" s="97"/>
      <c r="U725" s="97"/>
      <c r="V725" s="97"/>
      <c r="W725" s="97"/>
      <c r="X725" s="97"/>
      <c r="Y725" s="97"/>
      <c r="Z725" s="97"/>
    </row>
    <row r="726" spans="1:26" ht="15" hidden="1">
      <c r="A726" s="97"/>
      <c r="B726" s="97"/>
      <c r="C726" s="97"/>
      <c r="D726" s="97"/>
      <c r="E726" s="97"/>
      <c r="F726" s="97"/>
      <c r="G726" s="97"/>
      <c r="H726" s="97"/>
      <c r="I726" s="97"/>
      <c r="J726" s="97"/>
      <c r="K726" s="97"/>
      <c r="L726" s="97"/>
      <c r="M726" s="97"/>
      <c r="N726" s="97"/>
      <c r="O726" s="97"/>
      <c r="P726" s="97"/>
      <c r="Q726" s="97"/>
      <c r="R726" s="97"/>
      <c r="S726" s="97"/>
      <c r="T726" s="97"/>
      <c r="U726" s="97"/>
      <c r="V726" s="97"/>
      <c r="W726" s="97"/>
      <c r="X726" s="97"/>
      <c r="Y726" s="97"/>
      <c r="Z726" s="97"/>
    </row>
    <row r="727" spans="1:26" ht="15" hidden="1">
      <c r="A727" s="97"/>
      <c r="B727" s="97"/>
      <c r="C727" s="97"/>
      <c r="D727" s="97"/>
      <c r="E727" s="97"/>
      <c r="F727" s="97"/>
      <c r="G727" s="97"/>
      <c r="H727" s="97"/>
      <c r="I727" s="97"/>
      <c r="J727" s="97"/>
      <c r="K727" s="97"/>
      <c r="L727" s="97"/>
      <c r="M727" s="97"/>
      <c r="N727" s="97"/>
      <c r="O727" s="97"/>
      <c r="P727" s="97"/>
      <c r="Q727" s="97"/>
      <c r="R727" s="97"/>
      <c r="S727" s="97"/>
      <c r="T727" s="97"/>
      <c r="U727" s="97"/>
      <c r="V727" s="97"/>
      <c r="W727" s="97"/>
      <c r="X727" s="97"/>
      <c r="Y727" s="97"/>
      <c r="Z727" s="97"/>
    </row>
    <row r="728" spans="1:26" ht="15" hidden="1">
      <c r="A728" s="97"/>
      <c r="B728" s="97"/>
      <c r="C728" s="97"/>
      <c r="D728" s="97"/>
      <c r="E728" s="97"/>
      <c r="F728" s="97"/>
      <c r="G728" s="97"/>
      <c r="H728" s="97"/>
      <c r="I728" s="97"/>
      <c r="J728" s="97"/>
      <c r="K728" s="97"/>
      <c r="L728" s="97"/>
      <c r="M728" s="97"/>
      <c r="N728" s="97"/>
      <c r="O728" s="97"/>
      <c r="P728" s="97"/>
      <c r="Q728" s="97"/>
      <c r="R728" s="97"/>
      <c r="S728" s="97"/>
      <c r="T728" s="97"/>
      <c r="U728" s="97"/>
      <c r="V728" s="97"/>
      <c r="W728" s="97"/>
      <c r="X728" s="97"/>
      <c r="Y728" s="97"/>
      <c r="Z728" s="97"/>
    </row>
    <row r="729" spans="1:26" ht="15" hidden="1">
      <c r="A729" s="97"/>
      <c r="B729" s="97"/>
      <c r="C729" s="97"/>
      <c r="D729" s="97"/>
      <c r="E729" s="97"/>
      <c r="F729" s="97"/>
      <c r="G729" s="97"/>
      <c r="H729" s="97"/>
      <c r="I729" s="97"/>
      <c r="J729" s="97"/>
      <c r="K729" s="97"/>
      <c r="L729" s="97"/>
      <c r="M729" s="97"/>
      <c r="N729" s="97"/>
      <c r="O729" s="97"/>
      <c r="P729" s="97"/>
      <c r="Q729" s="97"/>
      <c r="R729" s="97"/>
      <c r="S729" s="97"/>
      <c r="T729" s="97"/>
      <c r="U729" s="97"/>
      <c r="V729" s="97"/>
      <c r="W729" s="97"/>
      <c r="X729" s="97"/>
      <c r="Y729" s="97"/>
      <c r="Z729" s="97"/>
    </row>
    <row r="730" spans="1:26" ht="15" hidden="1">
      <c r="A730" s="97"/>
      <c r="B730" s="97"/>
      <c r="C730" s="97"/>
      <c r="D730" s="97"/>
      <c r="E730" s="97"/>
      <c r="F730" s="97"/>
      <c r="G730" s="97"/>
      <c r="H730" s="97"/>
      <c r="I730" s="97"/>
      <c r="J730" s="97"/>
      <c r="K730" s="97"/>
      <c r="L730" s="97"/>
      <c r="M730" s="97"/>
      <c r="N730" s="97"/>
      <c r="O730" s="97"/>
      <c r="P730" s="97"/>
      <c r="Q730" s="97"/>
      <c r="R730" s="97"/>
      <c r="S730" s="97"/>
      <c r="T730" s="97"/>
      <c r="U730" s="97"/>
      <c r="V730" s="97"/>
      <c r="W730" s="97"/>
      <c r="X730" s="97"/>
      <c r="Y730" s="97"/>
      <c r="Z730" s="97"/>
    </row>
    <row r="731" spans="1:26" ht="15" hidden="1">
      <c r="A731" s="97"/>
      <c r="B731" s="97"/>
      <c r="C731" s="97"/>
      <c r="D731" s="97"/>
      <c r="E731" s="97"/>
      <c r="F731" s="97"/>
      <c r="G731" s="97"/>
      <c r="H731" s="97"/>
      <c r="I731" s="97"/>
      <c r="J731" s="97"/>
      <c r="K731" s="97"/>
      <c r="L731" s="97"/>
      <c r="M731" s="97"/>
      <c r="N731" s="97"/>
      <c r="O731" s="97"/>
      <c r="P731" s="97"/>
      <c r="Q731" s="97"/>
      <c r="R731" s="97"/>
      <c r="S731" s="97"/>
      <c r="T731" s="97"/>
      <c r="U731" s="97"/>
      <c r="V731" s="97"/>
      <c r="W731" s="97"/>
      <c r="X731" s="97"/>
      <c r="Y731" s="97"/>
      <c r="Z731" s="97"/>
    </row>
    <row r="732" spans="1:26" ht="15" hidden="1">
      <c r="A732" s="97"/>
      <c r="B732" s="97"/>
      <c r="C732" s="97"/>
      <c r="D732" s="97"/>
      <c r="E732" s="97"/>
      <c r="F732" s="97"/>
      <c r="G732" s="97"/>
      <c r="H732" s="97"/>
      <c r="I732" s="97"/>
      <c r="J732" s="97"/>
      <c r="K732" s="97"/>
      <c r="L732" s="97"/>
      <c r="M732" s="97"/>
      <c r="N732" s="97"/>
      <c r="O732" s="97"/>
      <c r="P732" s="97"/>
      <c r="Q732" s="97"/>
      <c r="R732" s="97"/>
      <c r="S732" s="97"/>
      <c r="T732" s="97"/>
      <c r="U732" s="97"/>
      <c r="V732" s="97"/>
      <c r="W732" s="97"/>
      <c r="X732" s="97"/>
      <c r="Y732" s="97"/>
      <c r="Z732" s="97"/>
    </row>
    <row r="733" spans="1:26" ht="15" hidden="1">
      <c r="A733" s="97"/>
      <c r="B733" s="97"/>
      <c r="C733" s="97"/>
      <c r="D733" s="97"/>
      <c r="E733" s="97"/>
      <c r="F733" s="97"/>
      <c r="G733" s="97"/>
      <c r="H733" s="97"/>
      <c r="I733" s="97"/>
      <c r="J733" s="97"/>
      <c r="K733" s="97"/>
      <c r="L733" s="97"/>
      <c r="M733" s="97"/>
      <c r="N733" s="97"/>
      <c r="O733" s="97"/>
      <c r="P733" s="97"/>
      <c r="Q733" s="97"/>
      <c r="R733" s="97"/>
      <c r="S733" s="97"/>
      <c r="T733" s="97"/>
      <c r="U733" s="97"/>
      <c r="V733" s="97"/>
      <c r="W733" s="97"/>
      <c r="X733" s="97"/>
      <c r="Y733" s="97"/>
      <c r="Z733" s="97"/>
    </row>
    <row r="734" spans="1:26" ht="15" hidden="1">
      <c r="A734" s="97"/>
      <c r="B734" s="97"/>
      <c r="C734" s="97"/>
      <c r="D734" s="97"/>
      <c r="E734" s="97"/>
      <c r="F734" s="97"/>
      <c r="G734" s="97"/>
      <c r="H734" s="97"/>
      <c r="I734" s="97"/>
      <c r="J734" s="97"/>
      <c r="K734" s="97"/>
      <c r="L734" s="97"/>
      <c r="M734" s="97"/>
      <c r="N734" s="97"/>
      <c r="O734" s="97"/>
      <c r="P734" s="97"/>
      <c r="Q734" s="97"/>
      <c r="R734" s="97"/>
      <c r="S734" s="97"/>
      <c r="T734" s="97"/>
      <c r="U734" s="97"/>
      <c r="V734" s="97"/>
      <c r="W734" s="97"/>
      <c r="X734" s="97"/>
      <c r="Y734" s="97"/>
      <c r="Z734" s="97"/>
    </row>
    <row r="735" spans="1:26" ht="15" hidden="1">
      <c r="A735" s="97"/>
      <c r="B735" s="97"/>
      <c r="C735" s="97"/>
      <c r="D735" s="97"/>
      <c r="E735" s="97"/>
      <c r="F735" s="97"/>
      <c r="G735" s="97"/>
      <c r="H735" s="97"/>
      <c r="I735" s="97"/>
      <c r="J735" s="97"/>
      <c r="K735" s="97"/>
      <c r="L735" s="97"/>
      <c r="M735" s="97"/>
      <c r="N735" s="97"/>
      <c r="O735" s="97"/>
      <c r="P735" s="97"/>
      <c r="Q735" s="97"/>
      <c r="R735" s="97"/>
      <c r="S735" s="97"/>
      <c r="T735" s="97"/>
      <c r="U735" s="97"/>
      <c r="V735" s="97"/>
      <c r="W735" s="97"/>
      <c r="X735" s="97"/>
      <c r="Y735" s="97"/>
      <c r="Z735" s="97"/>
    </row>
    <row r="736" spans="1:26" ht="15" hidden="1">
      <c r="A736" s="97"/>
      <c r="B736" s="97"/>
      <c r="C736" s="97"/>
      <c r="D736" s="97"/>
      <c r="E736" s="97"/>
      <c r="F736" s="97"/>
      <c r="G736" s="97"/>
      <c r="H736" s="97"/>
      <c r="I736" s="97"/>
      <c r="J736" s="97"/>
      <c r="K736" s="97"/>
      <c r="L736" s="97"/>
      <c r="M736" s="97"/>
      <c r="N736" s="97"/>
      <c r="O736" s="97"/>
      <c r="P736" s="97"/>
      <c r="Q736" s="97"/>
      <c r="R736" s="97"/>
      <c r="S736" s="97"/>
      <c r="T736" s="97"/>
      <c r="U736" s="97"/>
      <c r="V736" s="97"/>
      <c r="W736" s="97"/>
      <c r="X736" s="97"/>
      <c r="Y736" s="97"/>
      <c r="Z736" s="97"/>
    </row>
    <row r="737" spans="1:26" ht="15" hidden="1">
      <c r="A737" s="97"/>
      <c r="B737" s="97"/>
      <c r="C737" s="97"/>
      <c r="D737" s="97"/>
      <c r="E737" s="97"/>
      <c r="F737" s="97"/>
      <c r="G737" s="97"/>
      <c r="H737" s="97"/>
      <c r="I737" s="97"/>
      <c r="J737" s="97"/>
      <c r="K737" s="97"/>
      <c r="L737" s="97"/>
      <c r="M737" s="97"/>
      <c r="N737" s="97"/>
      <c r="O737" s="97"/>
      <c r="P737" s="97"/>
      <c r="Q737" s="97"/>
      <c r="R737" s="97"/>
      <c r="S737" s="97"/>
      <c r="T737" s="97"/>
      <c r="U737" s="97"/>
      <c r="V737" s="97"/>
      <c r="W737" s="97"/>
      <c r="X737" s="97"/>
      <c r="Y737" s="97"/>
      <c r="Z737" s="97"/>
    </row>
    <row r="738" spans="1:26" ht="15" hidden="1">
      <c r="A738" s="97"/>
      <c r="B738" s="97"/>
      <c r="C738" s="97"/>
      <c r="D738" s="97"/>
      <c r="E738" s="97"/>
      <c r="F738" s="97"/>
      <c r="G738" s="97"/>
      <c r="H738" s="97"/>
      <c r="I738" s="97"/>
      <c r="J738" s="97"/>
      <c r="K738" s="97"/>
      <c r="L738" s="97"/>
      <c r="M738" s="97"/>
      <c r="N738" s="97"/>
      <c r="O738" s="97"/>
      <c r="P738" s="97"/>
      <c r="Q738" s="97"/>
      <c r="R738" s="97"/>
      <c r="S738" s="97"/>
      <c r="T738" s="97"/>
      <c r="U738" s="97"/>
      <c r="V738" s="97"/>
      <c r="W738" s="97"/>
      <c r="X738" s="97"/>
      <c r="Y738" s="97"/>
      <c r="Z738" s="97"/>
    </row>
    <row r="739" spans="1:26" ht="15" hidden="1">
      <c r="A739" s="97"/>
      <c r="B739" s="97"/>
      <c r="C739" s="97"/>
      <c r="D739" s="97"/>
      <c r="E739" s="97"/>
      <c r="F739" s="97"/>
      <c r="G739" s="97"/>
      <c r="H739" s="97"/>
      <c r="I739" s="97"/>
      <c r="J739" s="97"/>
      <c r="K739" s="97"/>
      <c r="L739" s="97"/>
      <c r="M739" s="97"/>
      <c r="N739" s="97"/>
      <c r="O739" s="97"/>
      <c r="P739" s="97"/>
      <c r="Q739" s="97"/>
      <c r="R739" s="97"/>
      <c r="S739" s="97"/>
      <c r="T739" s="97"/>
      <c r="U739" s="97"/>
      <c r="V739" s="97"/>
      <c r="W739" s="97"/>
      <c r="X739" s="97"/>
      <c r="Y739" s="97"/>
      <c r="Z739" s="97"/>
    </row>
    <row r="740" spans="1:26" ht="15" hidden="1">
      <c r="A740" s="97"/>
      <c r="B740" s="97"/>
      <c r="C740" s="97"/>
      <c r="D740" s="97"/>
      <c r="E740" s="97"/>
      <c r="F740" s="97"/>
      <c r="G740" s="97"/>
      <c r="H740" s="97"/>
      <c r="I740" s="97"/>
      <c r="J740" s="97"/>
      <c r="K740" s="97"/>
      <c r="L740" s="97"/>
      <c r="M740" s="97"/>
      <c r="N740" s="97"/>
      <c r="O740" s="97"/>
      <c r="P740" s="97"/>
      <c r="Q740" s="97"/>
      <c r="R740" s="97"/>
      <c r="S740" s="97"/>
      <c r="T740" s="97"/>
      <c r="U740" s="97"/>
      <c r="V740" s="97"/>
      <c r="W740" s="97"/>
      <c r="X740" s="97"/>
      <c r="Y740" s="97"/>
      <c r="Z740" s="97"/>
    </row>
    <row r="741" spans="1:26" ht="15" hidden="1">
      <c r="A741" s="97"/>
      <c r="B741" s="97"/>
      <c r="C741" s="97"/>
      <c r="D741" s="97"/>
      <c r="E741" s="97"/>
      <c r="F741" s="97"/>
      <c r="G741" s="97"/>
      <c r="H741" s="97"/>
      <c r="I741" s="97"/>
      <c r="J741" s="97"/>
      <c r="K741" s="97"/>
      <c r="L741" s="97"/>
      <c r="M741" s="97"/>
      <c r="N741" s="97"/>
      <c r="O741" s="97"/>
      <c r="P741" s="97"/>
      <c r="Q741" s="97"/>
      <c r="R741" s="97"/>
      <c r="S741" s="97"/>
      <c r="T741" s="97"/>
      <c r="U741" s="97"/>
      <c r="V741" s="97"/>
      <c r="W741" s="97"/>
      <c r="X741" s="97"/>
      <c r="Y741" s="97"/>
      <c r="Z741" s="97"/>
    </row>
    <row r="742" spans="1:26" ht="15" hidden="1">
      <c r="A742" s="97"/>
      <c r="B742" s="97"/>
      <c r="C742" s="97"/>
      <c r="D742" s="97"/>
      <c r="E742" s="97"/>
      <c r="F742" s="97"/>
      <c r="G742" s="97"/>
      <c r="H742" s="97"/>
      <c r="I742" s="97"/>
      <c r="J742" s="97"/>
      <c r="K742" s="97"/>
      <c r="L742" s="97"/>
      <c r="M742" s="97"/>
      <c r="N742" s="97"/>
      <c r="O742" s="97"/>
      <c r="P742" s="97"/>
      <c r="Q742" s="97"/>
      <c r="R742" s="97"/>
      <c r="S742" s="97"/>
      <c r="T742" s="97"/>
      <c r="U742" s="97"/>
      <c r="V742" s="97"/>
      <c r="W742" s="97"/>
      <c r="X742" s="97"/>
      <c r="Y742" s="97"/>
      <c r="Z742" s="97"/>
    </row>
    <row r="743" spans="1:26" ht="15" hidden="1">
      <c r="A743" s="97"/>
      <c r="B743" s="97"/>
      <c r="C743" s="97"/>
      <c r="D743" s="97"/>
      <c r="E743" s="97"/>
      <c r="F743" s="97"/>
      <c r="G743" s="97"/>
      <c r="H743" s="97"/>
      <c r="I743" s="97"/>
      <c r="J743" s="97"/>
      <c r="K743" s="97"/>
      <c r="L743" s="97"/>
      <c r="M743" s="97"/>
      <c r="N743" s="97"/>
      <c r="O743" s="97"/>
      <c r="P743" s="97"/>
      <c r="Q743" s="97"/>
      <c r="R743" s="97"/>
      <c r="S743" s="97"/>
      <c r="T743" s="97"/>
      <c r="U743" s="97"/>
      <c r="V743" s="97"/>
      <c r="W743" s="97"/>
      <c r="X743" s="97"/>
      <c r="Y743" s="97"/>
      <c r="Z743" s="97"/>
    </row>
    <row r="744" spans="1:26" ht="15" hidden="1">
      <c r="A744" s="97"/>
      <c r="B744" s="97"/>
      <c r="C744" s="97"/>
      <c r="D744" s="97"/>
      <c r="E744" s="97"/>
      <c r="F744" s="97"/>
      <c r="G744" s="97"/>
      <c r="H744" s="97"/>
      <c r="I744" s="97"/>
      <c r="J744" s="97"/>
      <c r="K744" s="97"/>
      <c r="L744" s="97"/>
      <c r="M744" s="97"/>
      <c r="N744" s="97"/>
      <c r="O744" s="97"/>
      <c r="P744" s="97"/>
      <c r="Q744" s="97"/>
      <c r="R744" s="97"/>
      <c r="S744" s="97"/>
      <c r="T744" s="97"/>
      <c r="U744" s="97"/>
      <c r="V744" s="97"/>
      <c r="W744" s="97"/>
      <c r="X744" s="97"/>
      <c r="Y744" s="97"/>
      <c r="Z744" s="97"/>
    </row>
    <row r="745" spans="1:26" ht="15" hidden="1">
      <c r="A745" s="97"/>
      <c r="B745" s="97"/>
      <c r="C745" s="97"/>
      <c r="D745" s="97"/>
      <c r="E745" s="97"/>
      <c r="F745" s="97"/>
      <c r="G745" s="97"/>
      <c r="H745" s="97"/>
      <c r="I745" s="97"/>
      <c r="J745" s="97"/>
      <c r="K745" s="97"/>
      <c r="L745" s="97"/>
      <c r="M745" s="97"/>
      <c r="N745" s="97"/>
      <c r="O745" s="97"/>
      <c r="P745" s="97"/>
      <c r="Q745" s="97"/>
      <c r="R745" s="97"/>
      <c r="S745" s="97"/>
      <c r="T745" s="97"/>
      <c r="U745" s="97"/>
      <c r="V745" s="97"/>
      <c r="W745" s="97"/>
      <c r="X745" s="97"/>
      <c r="Y745" s="97"/>
      <c r="Z745" s="97"/>
    </row>
    <row r="746" spans="1:26" ht="15" hidden="1">
      <c r="A746" s="97"/>
      <c r="B746" s="97"/>
      <c r="C746" s="97"/>
      <c r="D746" s="97"/>
      <c r="E746" s="97"/>
      <c r="F746" s="97"/>
      <c r="G746" s="97"/>
      <c r="H746" s="97"/>
      <c r="I746" s="97"/>
      <c r="J746" s="97"/>
      <c r="K746" s="97"/>
      <c r="L746" s="97"/>
      <c r="M746" s="97"/>
      <c r="N746" s="97"/>
      <c r="O746" s="97"/>
      <c r="P746" s="97"/>
      <c r="Q746" s="97"/>
      <c r="R746" s="97"/>
      <c r="S746" s="97"/>
      <c r="T746" s="97"/>
      <c r="U746" s="97"/>
      <c r="V746" s="97"/>
      <c r="W746" s="97"/>
      <c r="X746" s="97"/>
      <c r="Y746" s="97"/>
      <c r="Z746" s="97"/>
    </row>
    <row r="747" spans="1:26" ht="15" hidden="1">
      <c r="A747" s="97"/>
      <c r="B747" s="97"/>
      <c r="C747" s="97"/>
      <c r="D747" s="97"/>
      <c r="E747" s="97"/>
      <c r="F747" s="97"/>
      <c r="G747" s="97"/>
      <c r="H747" s="97"/>
      <c r="I747" s="97"/>
      <c r="J747" s="97"/>
      <c r="K747" s="97"/>
      <c r="L747" s="97"/>
      <c r="M747" s="97"/>
      <c r="N747" s="97"/>
      <c r="O747" s="97"/>
      <c r="P747" s="97"/>
      <c r="Q747" s="97"/>
      <c r="R747" s="97"/>
      <c r="S747" s="97"/>
      <c r="T747" s="97"/>
      <c r="U747" s="97"/>
      <c r="V747" s="97"/>
      <c r="W747" s="97"/>
      <c r="X747" s="97"/>
      <c r="Y747" s="97"/>
      <c r="Z747" s="97"/>
    </row>
    <row r="748" spans="1:26" ht="15" hidden="1">
      <c r="A748" s="97"/>
      <c r="B748" s="97"/>
      <c r="C748" s="97"/>
      <c r="D748" s="97"/>
      <c r="E748" s="97"/>
      <c r="F748" s="97"/>
      <c r="G748" s="97"/>
      <c r="H748" s="97"/>
      <c r="I748" s="97"/>
      <c r="J748" s="97"/>
      <c r="K748" s="97"/>
      <c r="L748" s="97"/>
      <c r="M748" s="97"/>
      <c r="N748" s="97"/>
      <c r="O748" s="97"/>
      <c r="P748" s="97"/>
      <c r="Q748" s="97"/>
      <c r="R748" s="97"/>
      <c r="S748" s="97"/>
      <c r="T748" s="97"/>
      <c r="U748" s="97"/>
      <c r="V748" s="97"/>
      <c r="W748" s="97"/>
      <c r="X748" s="97"/>
      <c r="Y748" s="97"/>
      <c r="Z748" s="97"/>
    </row>
    <row r="749" spans="1:26" ht="15" hidden="1">
      <c r="A749" s="97"/>
      <c r="B749" s="97"/>
      <c r="C749" s="97"/>
      <c r="D749" s="97"/>
      <c r="E749" s="97"/>
      <c r="F749" s="97"/>
      <c r="G749" s="97"/>
      <c r="H749" s="97"/>
      <c r="I749" s="97"/>
      <c r="J749" s="97"/>
      <c r="K749" s="97"/>
      <c r="L749" s="97"/>
      <c r="M749" s="97"/>
      <c r="N749" s="97"/>
      <c r="O749" s="97"/>
      <c r="P749" s="97"/>
      <c r="Q749" s="97"/>
      <c r="R749" s="97"/>
      <c r="S749" s="97"/>
      <c r="T749" s="97"/>
      <c r="U749" s="97"/>
      <c r="V749" s="97"/>
      <c r="W749" s="97"/>
      <c r="X749" s="97"/>
      <c r="Y749" s="97"/>
      <c r="Z749" s="97"/>
    </row>
    <row r="750" spans="1:26" ht="15" hidden="1">
      <c r="A750" s="97"/>
      <c r="B750" s="97"/>
      <c r="C750" s="97"/>
      <c r="D750" s="97"/>
      <c r="E750" s="97"/>
      <c r="F750" s="97"/>
      <c r="G750" s="97"/>
      <c r="H750" s="97"/>
      <c r="I750" s="97"/>
      <c r="J750" s="97"/>
      <c r="K750" s="97"/>
      <c r="L750" s="97"/>
      <c r="M750" s="97"/>
      <c r="N750" s="97"/>
      <c r="O750" s="97"/>
      <c r="P750" s="97"/>
      <c r="Q750" s="97"/>
      <c r="R750" s="97"/>
      <c r="S750" s="97"/>
      <c r="T750" s="97"/>
      <c r="U750" s="97"/>
      <c r="V750" s="97"/>
      <c r="W750" s="97"/>
      <c r="X750" s="97"/>
      <c r="Y750" s="97"/>
      <c r="Z750" s="97"/>
    </row>
    <row r="751" spans="1:26" ht="15" hidden="1">
      <c r="A751" s="97"/>
      <c r="B751" s="97"/>
      <c r="C751" s="97"/>
      <c r="D751" s="97"/>
      <c r="E751" s="97"/>
      <c r="F751" s="97"/>
      <c r="G751" s="97"/>
      <c r="H751" s="97"/>
      <c r="I751" s="97"/>
      <c r="J751" s="97"/>
      <c r="K751" s="97"/>
      <c r="L751" s="97"/>
      <c r="M751" s="97"/>
      <c r="N751" s="97"/>
      <c r="O751" s="97"/>
      <c r="P751" s="97"/>
      <c r="Q751" s="97"/>
      <c r="R751" s="97"/>
      <c r="S751" s="97"/>
      <c r="T751" s="97"/>
      <c r="U751" s="97"/>
      <c r="V751" s="97"/>
      <c r="W751" s="97"/>
      <c r="X751" s="97"/>
      <c r="Y751" s="97"/>
      <c r="Z751" s="97"/>
    </row>
    <row r="752" spans="1:26" ht="15" hidden="1">
      <c r="A752" s="97"/>
      <c r="B752" s="97"/>
      <c r="C752" s="97"/>
      <c r="D752" s="97"/>
      <c r="E752" s="97"/>
      <c r="F752" s="97"/>
      <c r="G752" s="97"/>
      <c r="H752" s="97"/>
      <c r="I752" s="97"/>
      <c r="J752" s="97"/>
      <c r="K752" s="97"/>
      <c r="L752" s="97"/>
      <c r="M752" s="97"/>
      <c r="N752" s="97"/>
      <c r="O752" s="97"/>
      <c r="P752" s="97"/>
      <c r="Q752" s="97"/>
      <c r="R752" s="97"/>
      <c r="S752" s="97"/>
      <c r="T752" s="97"/>
      <c r="U752" s="97"/>
      <c r="V752" s="97"/>
      <c r="W752" s="97"/>
      <c r="X752" s="97"/>
      <c r="Y752" s="97"/>
      <c r="Z752" s="97"/>
    </row>
    <row r="753" spans="1:26" ht="15" hidden="1">
      <c r="A753" s="97"/>
      <c r="B753" s="97"/>
      <c r="C753" s="97"/>
      <c r="D753" s="97"/>
      <c r="E753" s="97"/>
      <c r="F753" s="97"/>
      <c r="G753" s="97"/>
      <c r="H753" s="97"/>
      <c r="I753" s="97"/>
      <c r="J753" s="97"/>
      <c r="K753" s="97"/>
      <c r="L753" s="97"/>
      <c r="M753" s="97"/>
      <c r="N753" s="97"/>
      <c r="O753" s="97"/>
      <c r="P753" s="97"/>
      <c r="Q753" s="97"/>
      <c r="R753" s="97"/>
      <c r="S753" s="97"/>
      <c r="T753" s="97"/>
      <c r="U753" s="97"/>
      <c r="V753" s="97"/>
      <c r="W753" s="97"/>
      <c r="X753" s="97"/>
      <c r="Y753" s="97"/>
      <c r="Z753" s="97"/>
    </row>
    <row r="754" spans="1:26" ht="15" hidden="1">
      <c r="A754" s="97"/>
      <c r="B754" s="97"/>
      <c r="C754" s="97"/>
      <c r="D754" s="97"/>
      <c r="E754" s="97"/>
      <c r="F754" s="97"/>
      <c r="G754" s="97"/>
      <c r="H754" s="97"/>
      <c r="I754" s="97"/>
      <c r="J754" s="97"/>
      <c r="K754" s="97"/>
      <c r="L754" s="97"/>
      <c r="M754" s="97"/>
      <c r="N754" s="97"/>
      <c r="O754" s="97"/>
      <c r="P754" s="97"/>
      <c r="Q754" s="97"/>
      <c r="R754" s="97"/>
      <c r="S754" s="97"/>
      <c r="T754" s="97"/>
      <c r="U754" s="97"/>
      <c r="V754" s="97"/>
      <c r="W754" s="97"/>
      <c r="X754" s="97"/>
      <c r="Y754" s="97"/>
      <c r="Z754" s="97"/>
    </row>
    <row r="755" spans="1:26" ht="15" hidden="1">
      <c r="A755" s="97"/>
      <c r="B755" s="97"/>
      <c r="C755" s="97"/>
      <c r="D755" s="97"/>
      <c r="E755" s="97"/>
      <c r="F755" s="97"/>
      <c r="G755" s="97"/>
      <c r="H755" s="97"/>
      <c r="I755" s="97"/>
      <c r="J755" s="97"/>
      <c r="K755" s="97"/>
      <c r="L755" s="97"/>
      <c r="M755" s="97"/>
      <c r="N755" s="97"/>
      <c r="O755" s="97"/>
      <c r="P755" s="97"/>
      <c r="Q755" s="97"/>
      <c r="R755" s="97"/>
      <c r="S755" s="97"/>
      <c r="T755" s="97"/>
      <c r="U755" s="97"/>
      <c r="V755" s="97"/>
      <c r="W755" s="97"/>
      <c r="X755" s="97"/>
      <c r="Y755" s="97"/>
      <c r="Z755" s="97"/>
    </row>
    <row r="756" spans="1:26" ht="15" hidden="1">
      <c r="A756" s="97"/>
      <c r="B756" s="97"/>
      <c r="C756" s="97"/>
      <c r="D756" s="97"/>
      <c r="E756" s="97"/>
      <c r="F756" s="97"/>
      <c r="G756" s="97"/>
      <c r="H756" s="97"/>
      <c r="I756" s="97"/>
      <c r="J756" s="97"/>
      <c r="K756" s="97"/>
      <c r="L756" s="97"/>
      <c r="M756" s="97"/>
      <c r="N756" s="97"/>
      <c r="O756" s="97"/>
      <c r="P756" s="97"/>
      <c r="Q756" s="97"/>
      <c r="R756" s="97"/>
      <c r="S756" s="97"/>
      <c r="T756" s="97"/>
      <c r="U756" s="97"/>
      <c r="V756" s="97"/>
      <c r="W756" s="97"/>
      <c r="X756" s="97"/>
      <c r="Y756" s="97"/>
      <c r="Z756" s="97"/>
    </row>
    <row r="757" spans="1:26" ht="15" hidden="1">
      <c r="A757" s="97"/>
      <c r="B757" s="97"/>
      <c r="C757" s="97"/>
      <c r="D757" s="97"/>
      <c r="E757" s="97"/>
      <c r="F757" s="97"/>
      <c r="G757" s="97"/>
      <c r="H757" s="97"/>
      <c r="I757" s="97"/>
      <c r="J757" s="97"/>
      <c r="K757" s="97"/>
      <c r="L757" s="97"/>
      <c r="M757" s="97"/>
      <c r="N757" s="97"/>
      <c r="O757" s="97"/>
      <c r="P757" s="97"/>
      <c r="Q757" s="97"/>
      <c r="R757" s="97"/>
      <c r="S757" s="97"/>
      <c r="T757" s="97"/>
      <c r="U757" s="97"/>
      <c r="V757" s="97"/>
      <c r="W757" s="97"/>
      <c r="X757" s="97"/>
      <c r="Y757" s="97"/>
      <c r="Z757" s="97"/>
    </row>
    <row r="758" spans="1:26" ht="15" hidden="1">
      <c r="A758" s="97"/>
      <c r="B758" s="97"/>
      <c r="C758" s="97"/>
      <c r="D758" s="97"/>
      <c r="E758" s="97"/>
      <c r="F758" s="97"/>
      <c r="G758" s="97"/>
      <c r="H758" s="97"/>
      <c r="I758" s="97"/>
      <c r="J758" s="97"/>
      <c r="K758" s="97"/>
      <c r="L758" s="97"/>
      <c r="M758" s="97"/>
      <c r="N758" s="97"/>
      <c r="O758" s="97"/>
      <c r="P758" s="97"/>
      <c r="Q758" s="97"/>
      <c r="R758" s="97"/>
      <c r="S758" s="97"/>
      <c r="T758" s="97"/>
      <c r="U758" s="97"/>
      <c r="V758" s="97"/>
      <c r="W758" s="97"/>
      <c r="X758" s="97"/>
      <c r="Y758" s="97"/>
      <c r="Z758" s="97"/>
    </row>
    <row r="759" spans="1:26" ht="15" hidden="1">
      <c r="A759" s="97"/>
      <c r="B759" s="97"/>
      <c r="C759" s="97"/>
      <c r="D759" s="97"/>
      <c r="E759" s="97"/>
      <c r="F759" s="97"/>
      <c r="G759" s="97"/>
      <c r="H759" s="97"/>
      <c r="I759" s="97"/>
      <c r="J759" s="97"/>
      <c r="K759" s="97"/>
      <c r="L759" s="97"/>
      <c r="M759" s="97"/>
      <c r="N759" s="97"/>
      <c r="O759" s="97"/>
      <c r="P759" s="97"/>
      <c r="Q759" s="97"/>
      <c r="R759" s="97"/>
      <c r="S759" s="97"/>
      <c r="T759" s="97"/>
      <c r="U759" s="97"/>
      <c r="V759" s="97"/>
      <c r="W759" s="97"/>
      <c r="X759" s="97"/>
      <c r="Y759" s="97"/>
      <c r="Z759" s="97"/>
    </row>
    <row r="760" spans="1:26" ht="15" hidden="1">
      <c r="A760" s="97"/>
      <c r="B760" s="97"/>
      <c r="C760" s="97"/>
      <c r="D760" s="97"/>
      <c r="E760" s="97"/>
      <c r="F760" s="97"/>
      <c r="G760" s="97"/>
      <c r="H760" s="97"/>
      <c r="I760" s="97"/>
      <c r="J760" s="97"/>
      <c r="K760" s="97"/>
      <c r="L760" s="97"/>
      <c r="M760" s="97"/>
      <c r="N760" s="97"/>
      <c r="O760" s="97"/>
      <c r="P760" s="97"/>
      <c r="Q760" s="97"/>
      <c r="R760" s="97"/>
      <c r="S760" s="97"/>
      <c r="T760" s="97"/>
      <c r="U760" s="97"/>
      <c r="V760" s="97"/>
      <c r="W760" s="97"/>
      <c r="X760" s="97"/>
      <c r="Y760" s="97"/>
      <c r="Z760" s="97"/>
    </row>
    <row r="761" spans="1:26" ht="15" hidden="1">
      <c r="A761" s="97"/>
      <c r="B761" s="97"/>
      <c r="C761" s="97"/>
      <c r="D761" s="97"/>
      <c r="E761" s="97"/>
      <c r="F761" s="97"/>
      <c r="G761" s="97"/>
      <c r="H761" s="97"/>
      <c r="I761" s="97"/>
      <c r="J761" s="97"/>
      <c r="K761" s="97"/>
      <c r="L761" s="97"/>
      <c r="M761" s="97"/>
      <c r="N761" s="97"/>
      <c r="O761" s="97"/>
      <c r="P761" s="97"/>
      <c r="Q761" s="97"/>
      <c r="R761" s="97"/>
      <c r="S761" s="97"/>
      <c r="T761" s="97"/>
      <c r="U761" s="97"/>
      <c r="V761" s="97"/>
      <c r="W761" s="97"/>
      <c r="X761" s="97"/>
      <c r="Y761" s="97"/>
      <c r="Z761" s="97"/>
    </row>
    <row r="762" spans="1:26" ht="15" hidden="1">
      <c r="A762" s="97"/>
      <c r="B762" s="97"/>
      <c r="C762" s="97"/>
      <c r="D762" s="97"/>
      <c r="E762" s="97"/>
      <c r="F762" s="97"/>
      <c r="G762" s="97"/>
      <c r="H762" s="97"/>
      <c r="I762" s="97"/>
      <c r="J762" s="97"/>
      <c r="K762" s="97"/>
      <c r="L762" s="97"/>
      <c r="M762" s="97"/>
      <c r="N762" s="97"/>
      <c r="O762" s="97"/>
      <c r="P762" s="97"/>
      <c r="Q762" s="97"/>
      <c r="R762" s="97"/>
      <c r="S762" s="97"/>
      <c r="T762" s="97"/>
      <c r="U762" s="97"/>
      <c r="V762" s="97"/>
      <c r="W762" s="97"/>
      <c r="X762" s="97"/>
      <c r="Y762" s="97"/>
      <c r="Z762" s="97"/>
    </row>
    <row r="763" spans="1:26" ht="15" hidden="1">
      <c r="A763" s="97"/>
      <c r="B763" s="97"/>
      <c r="C763" s="97"/>
      <c r="D763" s="97"/>
      <c r="E763" s="97"/>
      <c r="F763" s="97"/>
      <c r="G763" s="97"/>
      <c r="H763" s="97"/>
      <c r="I763" s="97"/>
      <c r="J763" s="97"/>
      <c r="K763" s="97"/>
      <c r="L763" s="97"/>
      <c r="M763" s="97"/>
      <c r="N763" s="97"/>
      <c r="O763" s="97"/>
      <c r="P763" s="97"/>
      <c r="Q763" s="97"/>
      <c r="R763" s="97"/>
      <c r="S763" s="97"/>
      <c r="T763" s="97"/>
      <c r="U763" s="97"/>
      <c r="V763" s="97"/>
      <c r="W763" s="97"/>
      <c r="X763" s="97"/>
      <c r="Y763" s="97"/>
      <c r="Z763" s="97"/>
    </row>
    <row r="764" spans="1:26" ht="15" hidden="1">
      <c r="A764" s="97"/>
      <c r="B764" s="97"/>
      <c r="C764" s="97"/>
      <c r="D764" s="97"/>
      <c r="E764" s="97"/>
      <c r="F764" s="97"/>
      <c r="G764" s="97"/>
      <c r="H764" s="97"/>
      <c r="I764" s="97"/>
      <c r="J764" s="97"/>
      <c r="K764" s="97"/>
      <c r="L764" s="97"/>
      <c r="M764" s="97"/>
      <c r="N764" s="97"/>
      <c r="O764" s="97"/>
      <c r="P764" s="97"/>
      <c r="Q764" s="97"/>
      <c r="R764" s="97"/>
      <c r="S764" s="97"/>
      <c r="T764" s="97"/>
      <c r="U764" s="97"/>
      <c r="V764" s="97"/>
      <c r="W764" s="97"/>
      <c r="X764" s="97"/>
      <c r="Y764" s="97"/>
      <c r="Z764" s="97"/>
    </row>
    <row r="765" spans="1:26" ht="15" hidden="1">
      <c r="A765" s="97"/>
      <c r="B765" s="97"/>
      <c r="C765" s="97"/>
      <c r="D765" s="97"/>
      <c r="E765" s="97"/>
      <c r="F765" s="97"/>
      <c r="G765" s="97"/>
      <c r="H765" s="97"/>
      <c r="I765" s="97"/>
      <c r="J765" s="97"/>
      <c r="K765" s="97"/>
      <c r="L765" s="97"/>
      <c r="M765" s="97"/>
      <c r="N765" s="97"/>
      <c r="O765" s="97"/>
      <c r="P765" s="97"/>
      <c r="Q765" s="97"/>
      <c r="R765" s="97"/>
      <c r="S765" s="97"/>
      <c r="T765" s="97"/>
      <c r="U765" s="97"/>
      <c r="V765" s="97"/>
      <c r="W765" s="97"/>
      <c r="X765" s="97"/>
      <c r="Y765" s="97"/>
      <c r="Z765" s="97"/>
    </row>
    <row r="766" spans="1:26" ht="15" hidden="1">
      <c r="A766" s="97"/>
      <c r="B766" s="97"/>
      <c r="C766" s="97"/>
      <c r="D766" s="97"/>
      <c r="E766" s="97"/>
      <c r="F766" s="97"/>
      <c r="G766" s="97"/>
      <c r="H766" s="97"/>
      <c r="I766" s="97"/>
      <c r="J766" s="97"/>
      <c r="K766" s="97"/>
      <c r="L766" s="97"/>
      <c r="M766" s="97"/>
      <c r="N766" s="97"/>
      <c r="O766" s="97"/>
      <c r="P766" s="97"/>
      <c r="Q766" s="97"/>
      <c r="R766" s="97"/>
      <c r="S766" s="97"/>
      <c r="T766" s="97"/>
      <c r="U766" s="97"/>
      <c r="V766" s="97"/>
      <c r="W766" s="97"/>
      <c r="X766" s="97"/>
      <c r="Y766" s="97"/>
      <c r="Z766" s="97"/>
    </row>
    <row r="767" spans="1:26" ht="15" hidden="1">
      <c r="A767" s="97"/>
      <c r="B767" s="97"/>
      <c r="C767" s="97"/>
      <c r="D767" s="97"/>
      <c r="E767" s="97"/>
      <c r="F767" s="97"/>
      <c r="G767" s="97"/>
      <c r="H767" s="97"/>
      <c r="I767" s="97"/>
      <c r="J767" s="97"/>
      <c r="K767" s="97"/>
      <c r="L767" s="97"/>
      <c r="M767" s="97"/>
      <c r="N767" s="97"/>
      <c r="O767" s="97"/>
      <c r="P767" s="97"/>
      <c r="Q767" s="97"/>
      <c r="R767" s="97"/>
      <c r="S767" s="97"/>
      <c r="T767" s="97"/>
      <c r="U767" s="97"/>
      <c r="V767" s="97"/>
      <c r="W767" s="97"/>
      <c r="X767" s="97"/>
      <c r="Y767" s="97"/>
      <c r="Z767" s="97"/>
    </row>
    <row r="768" spans="1:26" ht="15" hidden="1">
      <c r="A768" s="97"/>
      <c r="B768" s="97"/>
      <c r="C768" s="97"/>
      <c r="D768" s="97"/>
      <c r="E768" s="97"/>
      <c r="F768" s="97"/>
      <c r="G768" s="97"/>
      <c r="H768" s="97"/>
      <c r="I768" s="97"/>
      <c r="J768" s="97"/>
      <c r="K768" s="97"/>
      <c r="L768" s="97"/>
      <c r="M768" s="97"/>
      <c r="N768" s="97"/>
      <c r="O768" s="97"/>
      <c r="P768" s="97"/>
      <c r="Q768" s="97"/>
      <c r="R768" s="97"/>
      <c r="S768" s="97"/>
      <c r="T768" s="97"/>
      <c r="U768" s="97"/>
      <c r="V768" s="97"/>
      <c r="W768" s="97"/>
      <c r="X768" s="97"/>
      <c r="Y768" s="97"/>
      <c r="Z768" s="97"/>
    </row>
    <row r="769" spans="1:26" ht="15" hidden="1">
      <c r="A769" s="97"/>
      <c r="B769" s="97"/>
      <c r="C769" s="97"/>
      <c r="D769" s="97"/>
      <c r="E769" s="97"/>
      <c r="F769" s="97"/>
      <c r="G769" s="97"/>
      <c r="H769" s="97"/>
      <c r="I769" s="97"/>
      <c r="J769" s="97"/>
      <c r="K769" s="97"/>
      <c r="L769" s="97"/>
      <c r="M769" s="97"/>
      <c r="N769" s="97"/>
      <c r="O769" s="97"/>
      <c r="P769" s="97"/>
      <c r="Q769" s="97"/>
      <c r="R769" s="97"/>
      <c r="S769" s="97"/>
      <c r="T769" s="97"/>
      <c r="U769" s="97"/>
      <c r="V769" s="97"/>
      <c r="W769" s="97"/>
      <c r="X769" s="97"/>
      <c r="Y769" s="97"/>
      <c r="Z769" s="97"/>
    </row>
    <row r="770" spans="1:26" ht="15" hidden="1">
      <c r="A770" s="97"/>
      <c r="B770" s="97"/>
      <c r="C770" s="97"/>
      <c r="D770" s="97"/>
      <c r="E770" s="97"/>
      <c r="F770" s="97"/>
      <c r="G770" s="97"/>
      <c r="H770" s="97"/>
      <c r="I770" s="97"/>
      <c r="J770" s="97"/>
      <c r="K770" s="97"/>
      <c r="L770" s="97"/>
      <c r="M770" s="97"/>
      <c r="N770" s="97"/>
      <c r="O770" s="97"/>
      <c r="P770" s="97"/>
      <c r="Q770" s="97"/>
      <c r="R770" s="97"/>
      <c r="S770" s="97"/>
      <c r="T770" s="97"/>
      <c r="U770" s="97"/>
      <c r="V770" s="97"/>
      <c r="W770" s="97"/>
      <c r="X770" s="97"/>
      <c r="Y770" s="97"/>
      <c r="Z770" s="97"/>
    </row>
    <row r="771" spans="1:26" ht="15" hidden="1">
      <c r="A771" s="97"/>
      <c r="B771" s="97"/>
      <c r="C771" s="97"/>
      <c r="D771" s="97"/>
      <c r="E771" s="97"/>
      <c r="F771" s="97"/>
      <c r="G771" s="97"/>
      <c r="H771" s="97"/>
      <c r="I771" s="97"/>
      <c r="J771" s="97"/>
      <c r="K771" s="97"/>
      <c r="L771" s="97"/>
      <c r="M771" s="97"/>
      <c r="N771" s="97"/>
      <c r="O771" s="97"/>
      <c r="P771" s="97"/>
      <c r="Q771" s="97"/>
      <c r="R771" s="97"/>
      <c r="S771" s="97"/>
      <c r="T771" s="97"/>
      <c r="U771" s="97"/>
      <c r="V771" s="97"/>
      <c r="W771" s="97"/>
      <c r="X771" s="97"/>
      <c r="Y771" s="97"/>
      <c r="Z771" s="97"/>
    </row>
    <row r="772" spans="1:26" ht="15" hidden="1">
      <c r="A772" s="97"/>
      <c r="B772" s="97"/>
      <c r="C772" s="97"/>
      <c r="D772" s="97"/>
      <c r="E772" s="97"/>
      <c r="F772" s="97"/>
      <c r="G772" s="97"/>
      <c r="H772" s="97"/>
      <c r="I772" s="97"/>
      <c r="J772" s="97"/>
      <c r="K772" s="97"/>
      <c r="L772" s="97"/>
      <c r="M772" s="97"/>
      <c r="N772" s="97"/>
      <c r="O772" s="97"/>
      <c r="P772" s="97"/>
      <c r="Q772" s="97"/>
      <c r="R772" s="97"/>
      <c r="S772" s="97"/>
      <c r="T772" s="97"/>
      <c r="U772" s="97"/>
      <c r="V772" s="97"/>
      <c r="W772" s="97"/>
      <c r="X772" s="97"/>
      <c r="Y772" s="97"/>
      <c r="Z772" s="97"/>
    </row>
    <row r="773" spans="1:26" ht="15" hidden="1">
      <c r="A773" s="97"/>
      <c r="B773" s="97"/>
      <c r="C773" s="97"/>
      <c r="D773" s="97"/>
      <c r="E773" s="97"/>
      <c r="F773" s="97"/>
      <c r="G773" s="97"/>
      <c r="H773" s="97"/>
      <c r="I773" s="97"/>
      <c r="J773" s="97"/>
      <c r="K773" s="97"/>
      <c r="L773" s="97"/>
      <c r="M773" s="97"/>
      <c r="N773" s="97"/>
      <c r="O773" s="97"/>
      <c r="P773" s="97"/>
      <c r="Q773" s="97"/>
      <c r="R773" s="97"/>
      <c r="S773" s="97"/>
      <c r="T773" s="97"/>
      <c r="U773" s="97"/>
      <c r="V773" s="97"/>
      <c r="W773" s="97"/>
      <c r="X773" s="97"/>
      <c r="Y773" s="97"/>
      <c r="Z773" s="97"/>
    </row>
    <row r="774" spans="1:26" ht="15" hidden="1">
      <c r="A774" s="97"/>
      <c r="B774" s="97"/>
      <c r="C774" s="97"/>
      <c r="D774" s="97"/>
      <c r="E774" s="97"/>
      <c r="F774" s="97"/>
      <c r="G774" s="97"/>
      <c r="H774" s="97"/>
      <c r="I774" s="97"/>
      <c r="J774" s="97"/>
      <c r="K774" s="97"/>
      <c r="L774" s="97"/>
      <c r="M774" s="97"/>
      <c r="N774" s="97"/>
      <c r="O774" s="97"/>
      <c r="P774" s="97"/>
      <c r="Q774" s="97"/>
      <c r="R774" s="97"/>
      <c r="S774" s="97"/>
      <c r="T774" s="97"/>
      <c r="U774" s="97"/>
      <c r="V774" s="97"/>
      <c r="W774" s="97"/>
      <c r="X774" s="97"/>
      <c r="Y774" s="97"/>
      <c r="Z774" s="97"/>
    </row>
    <row r="775" spans="1:26" ht="15" hidden="1">
      <c r="A775" s="97"/>
      <c r="B775" s="97"/>
      <c r="C775" s="97"/>
      <c r="D775" s="97"/>
      <c r="E775" s="97"/>
      <c r="F775" s="97"/>
      <c r="G775" s="97"/>
      <c r="H775" s="97"/>
      <c r="I775" s="97"/>
      <c r="J775" s="97"/>
      <c r="K775" s="97"/>
      <c r="L775" s="97"/>
      <c r="M775" s="97"/>
      <c r="N775" s="97"/>
      <c r="O775" s="97"/>
      <c r="P775" s="97"/>
      <c r="Q775" s="97"/>
      <c r="R775" s="97"/>
      <c r="S775" s="97"/>
      <c r="T775" s="97"/>
      <c r="U775" s="97"/>
      <c r="V775" s="97"/>
      <c r="W775" s="97"/>
      <c r="X775" s="97"/>
      <c r="Y775" s="97"/>
      <c r="Z775" s="97"/>
    </row>
    <row r="776" spans="1:26" ht="15" hidden="1">
      <c r="A776" s="97"/>
      <c r="B776" s="97"/>
      <c r="C776" s="97"/>
      <c r="D776" s="97"/>
      <c r="E776" s="97"/>
      <c r="F776" s="97"/>
      <c r="G776" s="97"/>
      <c r="H776" s="97"/>
      <c r="I776" s="97"/>
      <c r="J776" s="97"/>
      <c r="K776" s="97"/>
      <c r="L776" s="97"/>
      <c r="M776" s="97"/>
      <c r="N776" s="97"/>
      <c r="O776" s="97"/>
      <c r="P776" s="97"/>
      <c r="Q776" s="97"/>
      <c r="R776" s="97"/>
      <c r="S776" s="97"/>
      <c r="T776" s="97"/>
      <c r="U776" s="97"/>
      <c r="V776" s="97"/>
      <c r="W776" s="97"/>
      <c r="X776" s="97"/>
      <c r="Y776" s="97"/>
      <c r="Z776" s="97"/>
    </row>
    <row r="777" spans="1:26" ht="15" hidden="1">
      <c r="A777" s="97"/>
      <c r="B777" s="97"/>
      <c r="C777" s="97"/>
      <c r="D777" s="97"/>
      <c r="E777" s="97"/>
      <c r="F777" s="97"/>
      <c r="G777" s="97"/>
      <c r="H777" s="97"/>
      <c r="I777" s="97"/>
      <c r="J777" s="97"/>
      <c r="K777" s="97"/>
      <c r="L777" s="97"/>
      <c r="M777" s="97"/>
      <c r="N777" s="97"/>
      <c r="O777" s="97"/>
      <c r="P777" s="97"/>
      <c r="Q777" s="97"/>
      <c r="R777" s="97"/>
      <c r="S777" s="97"/>
      <c r="T777" s="97"/>
      <c r="U777" s="97"/>
      <c r="V777" s="97"/>
      <c r="W777" s="97"/>
      <c r="X777" s="97"/>
      <c r="Y777" s="97"/>
      <c r="Z777" s="97"/>
    </row>
    <row r="778" spans="1:26" ht="15" hidden="1">
      <c r="A778" s="97"/>
      <c r="B778" s="97"/>
      <c r="C778" s="97"/>
      <c r="D778" s="97"/>
      <c r="E778" s="97"/>
      <c r="F778" s="97"/>
      <c r="G778" s="97"/>
      <c r="H778" s="97"/>
      <c r="I778" s="97"/>
      <c r="J778" s="97"/>
      <c r="K778" s="97"/>
      <c r="L778" s="97"/>
      <c r="M778" s="97"/>
      <c r="N778" s="97"/>
      <c r="O778" s="97"/>
      <c r="P778" s="97"/>
      <c r="Q778" s="97"/>
      <c r="R778" s="97"/>
      <c r="S778" s="97"/>
      <c r="T778" s="97"/>
      <c r="U778" s="97"/>
      <c r="V778" s="97"/>
      <c r="W778" s="97"/>
      <c r="X778" s="97"/>
      <c r="Y778" s="97"/>
      <c r="Z778" s="97"/>
    </row>
    <row r="779" spans="1:26" ht="15" hidden="1">
      <c r="A779" s="97"/>
      <c r="B779" s="97"/>
      <c r="C779" s="97"/>
      <c r="D779" s="97"/>
      <c r="E779" s="97"/>
      <c r="F779" s="97"/>
      <c r="G779" s="97"/>
      <c r="H779" s="97"/>
      <c r="I779" s="97"/>
      <c r="J779" s="97"/>
      <c r="K779" s="97"/>
      <c r="L779" s="97"/>
      <c r="M779" s="97"/>
      <c r="N779" s="97"/>
      <c r="O779" s="97"/>
      <c r="P779" s="97"/>
      <c r="Q779" s="97"/>
      <c r="R779" s="97"/>
      <c r="S779" s="97"/>
      <c r="T779" s="97"/>
      <c r="U779" s="97"/>
      <c r="V779" s="97"/>
      <c r="W779" s="97"/>
      <c r="X779" s="97"/>
      <c r="Y779" s="97"/>
      <c r="Z779" s="97"/>
    </row>
    <row r="780" spans="1:26" ht="15" hidden="1">
      <c r="A780" s="97"/>
      <c r="B780" s="97"/>
      <c r="C780" s="97"/>
      <c r="D780" s="97"/>
      <c r="E780" s="97"/>
      <c r="F780" s="97"/>
      <c r="G780" s="97"/>
      <c r="H780" s="97"/>
      <c r="I780" s="97"/>
      <c r="J780" s="97"/>
      <c r="K780" s="97"/>
      <c r="L780" s="97"/>
      <c r="M780" s="97"/>
      <c r="N780" s="97"/>
      <c r="O780" s="97"/>
      <c r="P780" s="97"/>
      <c r="Q780" s="97"/>
      <c r="R780" s="97"/>
      <c r="S780" s="97"/>
      <c r="T780" s="97"/>
      <c r="U780" s="97"/>
      <c r="V780" s="97"/>
      <c r="W780" s="97"/>
      <c r="X780" s="97"/>
      <c r="Y780" s="97"/>
      <c r="Z780" s="97"/>
    </row>
    <row r="781" spans="1:26" ht="15" hidden="1">
      <c r="A781" s="97"/>
      <c r="B781" s="97"/>
      <c r="C781" s="97"/>
      <c r="D781" s="97"/>
      <c r="E781" s="97"/>
      <c r="F781" s="97"/>
      <c r="G781" s="97"/>
      <c r="H781" s="97"/>
      <c r="I781" s="97"/>
      <c r="J781" s="97"/>
      <c r="K781" s="97"/>
      <c r="L781" s="97"/>
      <c r="M781" s="97"/>
      <c r="N781" s="97"/>
      <c r="O781" s="97"/>
      <c r="P781" s="97"/>
      <c r="Q781" s="97"/>
      <c r="R781" s="97"/>
      <c r="S781" s="97"/>
      <c r="T781" s="97"/>
      <c r="U781" s="97"/>
      <c r="V781" s="97"/>
      <c r="W781" s="97"/>
      <c r="X781" s="97"/>
      <c r="Y781" s="97"/>
      <c r="Z781" s="97"/>
    </row>
    <row r="782" spans="1:26" ht="15" hidden="1">
      <c r="A782" s="97"/>
      <c r="B782" s="97"/>
      <c r="C782" s="97"/>
      <c r="D782" s="97"/>
      <c r="E782" s="97"/>
      <c r="F782" s="97"/>
      <c r="G782" s="97"/>
      <c r="H782" s="97"/>
      <c r="I782" s="97"/>
      <c r="J782" s="97"/>
      <c r="K782" s="97"/>
      <c r="L782" s="97"/>
      <c r="M782" s="97"/>
      <c r="N782" s="97"/>
      <c r="O782" s="97"/>
      <c r="P782" s="97"/>
      <c r="Q782" s="97"/>
      <c r="R782" s="97"/>
      <c r="S782" s="97"/>
      <c r="T782" s="97"/>
      <c r="U782" s="97"/>
      <c r="V782" s="97"/>
      <c r="W782" s="97"/>
      <c r="X782" s="97"/>
      <c r="Y782" s="97"/>
      <c r="Z782" s="97"/>
    </row>
    <row r="783" spans="1:26" ht="15" hidden="1">
      <c r="A783" s="97"/>
      <c r="B783" s="97"/>
      <c r="C783" s="97"/>
      <c r="D783" s="97"/>
      <c r="E783" s="97"/>
      <c r="F783" s="97"/>
      <c r="G783" s="97"/>
      <c r="H783" s="97"/>
      <c r="I783" s="97"/>
      <c r="J783" s="97"/>
      <c r="K783" s="97"/>
      <c r="L783" s="97"/>
      <c r="M783" s="97"/>
      <c r="N783" s="97"/>
      <c r="O783" s="97"/>
      <c r="P783" s="97"/>
      <c r="Q783" s="97"/>
      <c r="R783" s="97"/>
      <c r="S783" s="97"/>
      <c r="T783" s="97"/>
      <c r="U783" s="97"/>
      <c r="V783" s="97"/>
      <c r="W783" s="97"/>
      <c r="X783" s="97"/>
      <c r="Y783" s="97"/>
      <c r="Z783" s="97"/>
    </row>
    <row r="784" spans="1:26" ht="15" hidden="1">
      <c r="A784" s="97"/>
      <c r="B784" s="97"/>
      <c r="C784" s="97"/>
      <c r="D784" s="97"/>
      <c r="E784" s="97"/>
      <c r="F784" s="97"/>
      <c r="G784" s="97"/>
      <c r="H784" s="97"/>
      <c r="I784" s="97"/>
      <c r="J784" s="97"/>
      <c r="K784" s="97"/>
      <c r="L784" s="97"/>
      <c r="M784" s="97"/>
      <c r="N784" s="97"/>
      <c r="O784" s="97"/>
      <c r="P784" s="97"/>
      <c r="Q784" s="97"/>
      <c r="R784" s="97"/>
      <c r="S784" s="97"/>
      <c r="T784" s="97"/>
      <c r="U784" s="97"/>
      <c r="V784" s="97"/>
      <c r="W784" s="97"/>
      <c r="X784" s="97"/>
      <c r="Y784" s="97"/>
      <c r="Z784" s="97"/>
    </row>
    <row r="785" spans="1:26" ht="15" hidden="1">
      <c r="A785" s="97"/>
      <c r="B785" s="97"/>
      <c r="C785" s="97"/>
      <c r="D785" s="97"/>
      <c r="E785" s="97"/>
      <c r="F785" s="97"/>
      <c r="G785" s="97"/>
      <c r="H785" s="97"/>
      <c r="I785" s="97"/>
      <c r="J785" s="97"/>
      <c r="K785" s="97"/>
      <c r="L785" s="97"/>
      <c r="M785" s="97"/>
      <c r="N785" s="97"/>
      <c r="O785" s="97"/>
      <c r="P785" s="97"/>
      <c r="Q785" s="97"/>
      <c r="R785" s="97"/>
      <c r="S785" s="97"/>
      <c r="T785" s="97"/>
      <c r="U785" s="97"/>
      <c r="V785" s="97"/>
      <c r="W785" s="97"/>
      <c r="X785" s="97"/>
      <c r="Y785" s="97"/>
      <c r="Z785" s="97"/>
    </row>
    <row r="786" spans="1:26" ht="15" hidden="1">
      <c r="A786" s="97"/>
      <c r="B786" s="97"/>
      <c r="C786" s="97"/>
      <c r="D786" s="97"/>
      <c r="E786" s="97"/>
      <c r="F786" s="97"/>
      <c r="G786" s="97"/>
      <c r="H786" s="97"/>
      <c r="I786" s="97"/>
      <c r="J786" s="97"/>
      <c r="K786" s="97"/>
      <c r="L786" s="97"/>
      <c r="M786" s="97"/>
      <c r="N786" s="97"/>
      <c r="O786" s="97"/>
      <c r="P786" s="97"/>
      <c r="Q786" s="97"/>
      <c r="R786" s="97"/>
      <c r="S786" s="97"/>
      <c r="T786" s="97"/>
      <c r="U786" s="97"/>
      <c r="V786" s="97"/>
      <c r="W786" s="97"/>
      <c r="X786" s="97"/>
      <c r="Y786" s="97"/>
      <c r="Z786" s="97"/>
    </row>
    <row r="787" spans="1:26" ht="15" hidden="1">
      <c r="A787" s="97"/>
      <c r="B787" s="97"/>
      <c r="C787" s="97"/>
      <c r="D787" s="97"/>
      <c r="E787" s="97"/>
      <c r="F787" s="97"/>
      <c r="G787" s="97"/>
      <c r="H787" s="97"/>
      <c r="I787" s="97"/>
      <c r="J787" s="97"/>
      <c r="K787" s="97"/>
      <c r="L787" s="97"/>
      <c r="M787" s="97"/>
      <c r="N787" s="97"/>
      <c r="O787" s="97"/>
      <c r="P787" s="97"/>
      <c r="Q787" s="97"/>
      <c r="R787" s="97"/>
      <c r="S787" s="97"/>
      <c r="T787" s="97"/>
      <c r="U787" s="97"/>
      <c r="V787" s="97"/>
      <c r="W787" s="97"/>
      <c r="X787" s="97"/>
      <c r="Y787" s="97"/>
      <c r="Z787" s="97"/>
    </row>
    <row r="788" spans="1:26" ht="15" hidden="1">
      <c r="A788" s="97"/>
      <c r="B788" s="97"/>
      <c r="C788" s="97"/>
      <c r="D788" s="97"/>
      <c r="E788" s="97"/>
      <c r="F788" s="97"/>
      <c r="G788" s="97"/>
      <c r="H788" s="97"/>
      <c r="I788" s="97"/>
      <c r="J788" s="97"/>
      <c r="K788" s="97"/>
      <c r="L788" s="97"/>
      <c r="M788" s="97"/>
      <c r="N788" s="97"/>
      <c r="O788" s="97"/>
      <c r="P788" s="97"/>
      <c r="Q788" s="97"/>
      <c r="R788" s="97"/>
      <c r="S788" s="97"/>
      <c r="T788" s="97"/>
      <c r="U788" s="97"/>
      <c r="V788" s="97"/>
      <c r="W788" s="97"/>
      <c r="X788" s="97"/>
      <c r="Y788" s="97"/>
      <c r="Z788" s="97"/>
    </row>
    <row r="789" spans="1:26" ht="15" hidden="1">
      <c r="A789" s="97"/>
      <c r="B789" s="97"/>
      <c r="C789" s="97"/>
      <c r="D789" s="97"/>
      <c r="E789" s="97"/>
      <c r="F789" s="97"/>
      <c r="G789" s="97"/>
      <c r="H789" s="97"/>
      <c r="I789" s="97"/>
      <c r="J789" s="97"/>
      <c r="K789" s="97"/>
      <c r="L789" s="97"/>
      <c r="M789" s="97"/>
      <c r="N789" s="97"/>
      <c r="O789" s="97"/>
      <c r="P789" s="97"/>
      <c r="Q789" s="97"/>
      <c r="R789" s="97"/>
      <c r="S789" s="97"/>
      <c r="T789" s="97"/>
      <c r="U789" s="97"/>
      <c r="V789" s="97"/>
      <c r="W789" s="97"/>
      <c r="X789" s="97"/>
      <c r="Y789" s="97"/>
      <c r="Z789" s="97"/>
    </row>
    <row r="790" spans="1:26" ht="15" hidden="1">
      <c r="A790" s="97"/>
      <c r="B790" s="97"/>
      <c r="C790" s="97"/>
      <c r="D790" s="97"/>
      <c r="E790" s="97"/>
      <c r="F790" s="97"/>
      <c r="G790" s="97"/>
      <c r="H790" s="97"/>
      <c r="I790" s="97"/>
      <c r="J790" s="97"/>
      <c r="K790" s="97"/>
      <c r="L790" s="97"/>
      <c r="M790" s="97"/>
      <c r="N790" s="97"/>
      <c r="O790" s="97"/>
      <c r="P790" s="97"/>
      <c r="Q790" s="97"/>
      <c r="R790" s="97"/>
      <c r="S790" s="97"/>
      <c r="T790" s="97"/>
      <c r="U790" s="97"/>
      <c r="V790" s="97"/>
      <c r="W790" s="97"/>
      <c r="X790" s="97"/>
      <c r="Y790" s="97"/>
      <c r="Z790" s="97"/>
    </row>
    <row r="791" spans="1:26" ht="15" hidden="1">
      <c r="A791" s="97"/>
      <c r="B791" s="97"/>
      <c r="C791" s="97"/>
      <c r="D791" s="97"/>
      <c r="E791" s="97"/>
      <c r="F791" s="97"/>
      <c r="G791" s="97"/>
      <c r="H791" s="97"/>
      <c r="I791" s="97"/>
      <c r="J791" s="97"/>
      <c r="K791" s="97"/>
      <c r="L791" s="97"/>
      <c r="M791" s="97"/>
      <c r="N791" s="97"/>
      <c r="O791" s="97"/>
      <c r="P791" s="97"/>
      <c r="Q791" s="97"/>
      <c r="R791" s="97"/>
      <c r="S791" s="97"/>
      <c r="T791" s="97"/>
      <c r="U791" s="97"/>
      <c r="V791" s="97"/>
      <c r="W791" s="97"/>
      <c r="X791" s="97"/>
      <c r="Y791" s="97"/>
      <c r="Z791" s="97"/>
    </row>
    <row r="792" spans="1:26" ht="15" hidden="1">
      <c r="A792" s="97"/>
      <c r="B792" s="97"/>
      <c r="C792" s="97"/>
      <c r="D792" s="97"/>
      <c r="E792" s="97"/>
      <c r="F792" s="97"/>
      <c r="G792" s="97"/>
      <c r="H792" s="97"/>
      <c r="I792" s="97"/>
      <c r="J792" s="97"/>
      <c r="K792" s="97"/>
      <c r="L792" s="97"/>
      <c r="M792" s="97"/>
      <c r="N792" s="97"/>
      <c r="O792" s="97"/>
      <c r="P792" s="97"/>
      <c r="Q792" s="97"/>
      <c r="R792" s="97"/>
      <c r="S792" s="97"/>
      <c r="T792" s="97"/>
      <c r="U792" s="97"/>
      <c r="V792" s="97"/>
      <c r="W792" s="97"/>
      <c r="X792" s="97"/>
      <c r="Y792" s="97"/>
      <c r="Z792" s="97"/>
    </row>
    <row r="793" spans="1:26" ht="15" hidden="1">
      <c r="A793" s="97"/>
      <c r="B793" s="97"/>
      <c r="C793" s="97"/>
      <c r="D793" s="97"/>
      <c r="E793" s="97"/>
      <c r="F793" s="97"/>
      <c r="G793" s="97"/>
      <c r="H793" s="97"/>
      <c r="I793" s="97"/>
      <c r="J793" s="97"/>
      <c r="K793" s="97"/>
      <c r="L793" s="97"/>
      <c r="M793" s="97"/>
      <c r="N793" s="97"/>
      <c r="O793" s="97"/>
      <c r="P793" s="97"/>
      <c r="Q793" s="97"/>
      <c r="R793" s="97"/>
      <c r="S793" s="97"/>
      <c r="T793" s="97"/>
      <c r="U793" s="97"/>
      <c r="V793" s="97"/>
      <c r="W793" s="97"/>
      <c r="X793" s="97"/>
      <c r="Y793" s="97"/>
      <c r="Z793" s="97"/>
    </row>
    <row r="794" spans="1:26" ht="15" hidden="1">
      <c r="A794" s="97"/>
      <c r="B794" s="97"/>
      <c r="C794" s="97"/>
      <c r="D794" s="97"/>
      <c r="E794" s="97"/>
      <c r="F794" s="97"/>
      <c r="G794" s="97"/>
      <c r="H794" s="97"/>
      <c r="I794" s="97"/>
      <c r="J794" s="97"/>
      <c r="K794" s="97"/>
      <c r="L794" s="97"/>
      <c r="M794" s="97"/>
      <c r="N794" s="97"/>
      <c r="O794" s="97"/>
      <c r="P794" s="97"/>
      <c r="Q794" s="97"/>
      <c r="R794" s="97"/>
      <c r="S794" s="97"/>
      <c r="T794" s="97"/>
      <c r="U794" s="97"/>
      <c r="V794" s="97"/>
      <c r="W794" s="97"/>
      <c r="X794" s="97"/>
      <c r="Y794" s="97"/>
      <c r="Z794" s="97"/>
    </row>
    <row r="795" spans="1:26" ht="15" hidden="1">
      <c r="A795" s="97"/>
      <c r="B795" s="97"/>
      <c r="C795" s="97"/>
      <c r="D795" s="97"/>
      <c r="E795" s="97"/>
      <c r="F795" s="97"/>
      <c r="G795" s="97"/>
      <c r="H795" s="97"/>
      <c r="I795" s="97"/>
      <c r="J795" s="97"/>
      <c r="K795" s="97"/>
      <c r="L795" s="97"/>
      <c r="M795" s="97"/>
      <c r="N795" s="97"/>
      <c r="O795" s="97"/>
      <c r="P795" s="97"/>
      <c r="Q795" s="97"/>
      <c r="R795" s="97"/>
      <c r="S795" s="97"/>
      <c r="T795" s="97"/>
      <c r="U795" s="97"/>
      <c r="V795" s="97"/>
      <c r="W795" s="97"/>
      <c r="X795" s="97"/>
      <c r="Y795" s="97"/>
      <c r="Z795" s="97"/>
    </row>
    <row r="796" spans="1:26" ht="15" hidden="1">
      <c r="A796" s="97"/>
      <c r="B796" s="97"/>
      <c r="C796" s="97"/>
      <c r="D796" s="97"/>
      <c r="E796" s="97"/>
      <c r="F796" s="97"/>
      <c r="G796" s="97"/>
      <c r="H796" s="97"/>
      <c r="I796" s="97"/>
      <c r="J796" s="97"/>
      <c r="K796" s="97"/>
      <c r="L796" s="97"/>
      <c r="M796" s="97"/>
      <c r="N796" s="97"/>
      <c r="O796" s="97"/>
      <c r="P796" s="97"/>
      <c r="Q796" s="97"/>
      <c r="R796" s="97"/>
      <c r="S796" s="97"/>
      <c r="T796" s="97"/>
      <c r="U796" s="97"/>
      <c r="V796" s="97"/>
      <c r="W796" s="97"/>
      <c r="X796" s="97"/>
      <c r="Y796" s="97"/>
      <c r="Z796" s="97"/>
    </row>
    <row r="797" spans="1:26" ht="15" hidden="1">
      <c r="A797" s="97"/>
      <c r="B797" s="97"/>
      <c r="C797" s="97"/>
      <c r="D797" s="97"/>
      <c r="E797" s="97"/>
      <c r="F797" s="97"/>
      <c r="G797" s="97"/>
      <c r="H797" s="97"/>
      <c r="I797" s="97"/>
      <c r="J797" s="97"/>
      <c r="K797" s="97"/>
      <c r="L797" s="97"/>
      <c r="M797" s="97"/>
      <c r="N797" s="97"/>
      <c r="O797" s="97"/>
      <c r="P797" s="97"/>
      <c r="Q797" s="97"/>
      <c r="R797" s="97"/>
      <c r="S797" s="97"/>
      <c r="T797" s="97"/>
      <c r="U797" s="97"/>
      <c r="V797" s="97"/>
      <c r="W797" s="97"/>
      <c r="X797" s="97"/>
      <c r="Y797" s="97"/>
      <c r="Z797" s="97"/>
    </row>
    <row r="798" spans="1:26" ht="15" hidden="1">
      <c r="A798" s="97"/>
      <c r="B798" s="97"/>
      <c r="C798" s="97"/>
      <c r="D798" s="97"/>
      <c r="E798" s="97"/>
      <c r="F798" s="97"/>
      <c r="G798" s="97"/>
      <c r="H798" s="97"/>
      <c r="I798" s="97"/>
      <c r="J798" s="97"/>
      <c r="K798" s="97"/>
      <c r="L798" s="97"/>
      <c r="M798" s="97"/>
      <c r="N798" s="97"/>
      <c r="O798" s="97"/>
      <c r="P798" s="97"/>
      <c r="Q798" s="97"/>
      <c r="R798" s="97"/>
      <c r="S798" s="97"/>
      <c r="T798" s="97"/>
      <c r="U798" s="97"/>
      <c r="V798" s="97"/>
      <c r="W798" s="97"/>
      <c r="X798" s="97"/>
      <c r="Y798" s="97"/>
      <c r="Z798" s="97"/>
    </row>
    <row r="799" spans="1:26" ht="15" hidden="1">
      <c r="A799" s="97"/>
      <c r="B799" s="97"/>
      <c r="C799" s="97"/>
      <c r="D799" s="97"/>
      <c r="E799" s="97"/>
      <c r="F799" s="97"/>
      <c r="G799" s="97"/>
      <c r="H799" s="97"/>
      <c r="I799" s="97"/>
      <c r="J799" s="97"/>
      <c r="K799" s="97"/>
      <c r="L799" s="97"/>
      <c r="M799" s="97"/>
      <c r="N799" s="97"/>
      <c r="O799" s="97"/>
      <c r="P799" s="97"/>
      <c r="Q799" s="97"/>
      <c r="R799" s="97"/>
      <c r="S799" s="97"/>
      <c r="T799" s="97"/>
      <c r="U799" s="97"/>
      <c r="V799" s="97"/>
      <c r="W799" s="97"/>
      <c r="X799" s="97"/>
      <c r="Y799" s="97"/>
      <c r="Z799" s="97"/>
    </row>
    <row r="800" spans="1:26" ht="15" hidden="1">
      <c r="A800" s="97"/>
      <c r="B800" s="97"/>
      <c r="C800" s="97"/>
      <c r="D800" s="97"/>
      <c r="E800" s="97"/>
      <c r="F800" s="97"/>
      <c r="G800" s="97"/>
      <c r="H800" s="97"/>
      <c r="I800" s="97"/>
      <c r="J800" s="97"/>
      <c r="K800" s="97"/>
      <c r="L800" s="97"/>
      <c r="M800" s="97"/>
      <c r="N800" s="97"/>
      <c r="O800" s="97"/>
      <c r="P800" s="97"/>
      <c r="Q800" s="97"/>
      <c r="R800" s="97"/>
      <c r="S800" s="97"/>
      <c r="T800" s="97"/>
      <c r="U800" s="97"/>
      <c r="V800" s="97"/>
      <c r="W800" s="97"/>
      <c r="X800" s="97"/>
      <c r="Y800" s="97"/>
      <c r="Z800" s="97"/>
    </row>
    <row r="801" spans="1:26" ht="15" hidden="1">
      <c r="A801" s="97"/>
      <c r="B801" s="97"/>
      <c r="C801" s="97"/>
      <c r="D801" s="97"/>
      <c r="E801" s="97"/>
      <c r="F801" s="97"/>
      <c r="G801" s="97"/>
      <c r="H801" s="97"/>
      <c r="I801" s="97"/>
      <c r="J801" s="97"/>
      <c r="K801" s="97"/>
      <c r="L801" s="97"/>
      <c r="M801" s="97"/>
      <c r="N801" s="97"/>
      <c r="O801" s="97"/>
      <c r="P801" s="97"/>
      <c r="Q801" s="97"/>
      <c r="R801" s="97"/>
      <c r="S801" s="97"/>
      <c r="T801" s="97"/>
      <c r="U801" s="97"/>
      <c r="V801" s="97"/>
      <c r="W801" s="97"/>
      <c r="X801" s="97"/>
      <c r="Y801" s="97"/>
      <c r="Z801" s="97"/>
    </row>
    <row r="802" spans="1:26" ht="15" hidden="1">
      <c r="A802" s="97"/>
      <c r="B802" s="97"/>
      <c r="C802" s="97"/>
      <c r="D802" s="97"/>
      <c r="E802" s="97"/>
      <c r="F802" s="97"/>
      <c r="G802" s="97"/>
      <c r="H802" s="97"/>
      <c r="I802" s="97"/>
      <c r="J802" s="97"/>
      <c r="K802" s="97"/>
      <c r="L802" s="97"/>
      <c r="M802" s="97"/>
      <c r="N802" s="97"/>
      <c r="O802" s="97"/>
      <c r="P802" s="97"/>
      <c r="Q802" s="97"/>
      <c r="R802" s="97"/>
      <c r="S802" s="97"/>
      <c r="T802" s="97"/>
      <c r="U802" s="97"/>
      <c r="V802" s="97"/>
      <c r="W802" s="97"/>
      <c r="X802" s="97"/>
      <c r="Y802" s="97"/>
      <c r="Z802" s="97"/>
    </row>
    <row r="803" spans="1:26" ht="15" hidden="1">
      <c r="A803" s="97"/>
      <c r="B803" s="97"/>
      <c r="C803" s="97"/>
      <c r="D803" s="97"/>
      <c r="E803" s="97"/>
      <c r="F803" s="97"/>
      <c r="G803" s="97"/>
      <c r="H803" s="97"/>
      <c r="I803" s="97"/>
      <c r="J803" s="97"/>
      <c r="K803" s="97"/>
      <c r="L803" s="97"/>
      <c r="M803" s="97"/>
      <c r="N803" s="97"/>
      <c r="O803" s="97"/>
      <c r="P803" s="97"/>
      <c r="Q803" s="97"/>
      <c r="R803" s="97"/>
      <c r="S803" s="97"/>
      <c r="T803" s="97"/>
      <c r="U803" s="97"/>
      <c r="V803" s="97"/>
      <c r="W803" s="97"/>
      <c r="X803" s="97"/>
      <c r="Y803" s="97"/>
      <c r="Z803" s="97"/>
    </row>
    <row r="804" spans="1:26" ht="15" hidden="1">
      <c r="A804" s="97"/>
      <c r="B804" s="97"/>
      <c r="C804" s="97"/>
      <c r="D804" s="97"/>
      <c r="E804" s="97"/>
      <c r="F804" s="97"/>
      <c r="G804" s="97"/>
      <c r="H804" s="97"/>
      <c r="I804" s="97"/>
      <c r="J804" s="97"/>
      <c r="K804" s="97"/>
      <c r="L804" s="97"/>
      <c r="M804" s="97"/>
      <c r="N804" s="97"/>
      <c r="O804" s="97"/>
      <c r="P804" s="97"/>
      <c r="Q804" s="97"/>
      <c r="R804" s="97"/>
      <c r="S804" s="97"/>
      <c r="T804" s="97"/>
      <c r="U804" s="97"/>
      <c r="V804" s="97"/>
      <c r="W804" s="97"/>
      <c r="X804" s="97"/>
      <c r="Y804" s="97"/>
      <c r="Z804" s="97"/>
    </row>
    <row r="805" spans="1:26" ht="15" hidden="1">
      <c r="A805" s="97"/>
      <c r="B805" s="97"/>
      <c r="C805" s="97"/>
      <c r="D805" s="97"/>
      <c r="E805" s="97"/>
      <c r="F805" s="97"/>
      <c r="G805" s="97"/>
      <c r="H805" s="97"/>
      <c r="I805" s="97"/>
      <c r="J805" s="97"/>
      <c r="K805" s="97"/>
      <c r="L805" s="97"/>
      <c r="M805" s="97"/>
      <c r="N805" s="97"/>
      <c r="O805" s="97"/>
      <c r="P805" s="97"/>
      <c r="Q805" s="97"/>
      <c r="R805" s="97"/>
      <c r="S805" s="97"/>
      <c r="T805" s="97"/>
      <c r="U805" s="97"/>
      <c r="V805" s="97"/>
      <c r="W805" s="97"/>
      <c r="X805" s="97"/>
      <c r="Y805" s="97"/>
      <c r="Z805" s="97"/>
    </row>
    <row r="806" spans="1:26" ht="15" hidden="1">
      <c r="A806" s="97"/>
      <c r="B806" s="97"/>
      <c r="C806" s="97"/>
      <c r="D806" s="97"/>
      <c r="E806" s="97"/>
      <c r="F806" s="97"/>
      <c r="G806" s="97"/>
      <c r="H806" s="97"/>
      <c r="I806" s="97"/>
      <c r="J806" s="97"/>
      <c r="K806" s="97"/>
      <c r="L806" s="97"/>
      <c r="M806" s="97"/>
      <c r="N806" s="97"/>
      <c r="O806" s="97"/>
      <c r="P806" s="97"/>
      <c r="Q806" s="97"/>
      <c r="R806" s="97"/>
      <c r="S806" s="97"/>
      <c r="T806" s="97"/>
      <c r="U806" s="97"/>
      <c r="V806" s="97"/>
      <c r="W806" s="97"/>
      <c r="X806" s="97"/>
      <c r="Y806" s="97"/>
      <c r="Z806" s="97"/>
    </row>
    <row r="807" spans="1:26" ht="15" hidden="1">
      <c r="A807" s="97"/>
      <c r="B807" s="97"/>
      <c r="C807" s="97"/>
      <c r="D807" s="97"/>
      <c r="E807" s="97"/>
      <c r="F807" s="97"/>
      <c r="G807" s="97"/>
      <c r="H807" s="97"/>
      <c r="I807" s="97"/>
      <c r="J807" s="97"/>
      <c r="K807" s="97"/>
      <c r="L807" s="97"/>
      <c r="M807" s="97"/>
      <c r="N807" s="97"/>
      <c r="O807" s="97"/>
      <c r="P807" s="97"/>
      <c r="Q807" s="97"/>
      <c r="R807" s="97"/>
      <c r="S807" s="97"/>
      <c r="T807" s="97"/>
      <c r="U807" s="97"/>
      <c r="V807" s="97"/>
      <c r="W807" s="97"/>
      <c r="X807" s="97"/>
      <c r="Y807" s="97"/>
      <c r="Z807" s="97"/>
    </row>
    <row r="808" spans="1:26" ht="15" hidden="1">
      <c r="A808" s="97"/>
      <c r="B808" s="97"/>
      <c r="C808" s="97"/>
      <c r="D808" s="97"/>
      <c r="E808" s="97"/>
      <c r="F808" s="97"/>
      <c r="G808" s="97"/>
      <c r="H808" s="97"/>
      <c r="I808" s="97"/>
      <c r="J808" s="97"/>
      <c r="K808" s="97"/>
      <c r="L808" s="97"/>
      <c r="M808" s="97"/>
      <c r="N808" s="97"/>
      <c r="O808" s="97"/>
      <c r="P808" s="97"/>
      <c r="Q808" s="97"/>
      <c r="R808" s="97"/>
      <c r="S808" s="97"/>
      <c r="T808" s="97"/>
      <c r="U808" s="97"/>
      <c r="V808" s="97"/>
      <c r="W808" s="97"/>
      <c r="X808" s="97"/>
      <c r="Y808" s="97"/>
      <c r="Z808" s="97"/>
    </row>
    <row r="809" spans="1:26" ht="15" hidden="1">
      <c r="A809" s="97"/>
      <c r="B809" s="97"/>
      <c r="C809" s="97"/>
      <c r="D809" s="97"/>
      <c r="E809" s="97"/>
      <c r="F809" s="97"/>
      <c r="G809" s="97"/>
      <c r="H809" s="97"/>
      <c r="I809" s="97"/>
      <c r="J809" s="97"/>
      <c r="K809" s="97"/>
      <c r="L809" s="97"/>
      <c r="M809" s="97"/>
      <c r="N809" s="97"/>
      <c r="O809" s="97"/>
      <c r="P809" s="97"/>
      <c r="Q809" s="97"/>
      <c r="R809" s="97"/>
      <c r="S809" s="97"/>
      <c r="T809" s="97"/>
      <c r="U809" s="97"/>
      <c r="V809" s="97"/>
      <c r="W809" s="97"/>
      <c r="X809" s="97"/>
      <c r="Y809" s="97"/>
      <c r="Z809" s="97"/>
    </row>
    <row r="810" spans="1:26" ht="15" hidden="1">
      <c r="A810" s="97"/>
      <c r="B810" s="97"/>
      <c r="C810" s="97"/>
      <c r="D810" s="97"/>
      <c r="E810" s="97"/>
      <c r="F810" s="97"/>
      <c r="G810" s="97"/>
      <c r="H810" s="97"/>
      <c r="I810" s="97"/>
      <c r="J810" s="97"/>
      <c r="K810" s="97"/>
      <c r="L810" s="97"/>
      <c r="M810" s="97"/>
      <c r="N810" s="97"/>
      <c r="O810" s="97"/>
      <c r="P810" s="97"/>
      <c r="Q810" s="97"/>
      <c r="R810" s="97"/>
      <c r="S810" s="97"/>
      <c r="T810" s="97"/>
      <c r="U810" s="97"/>
      <c r="V810" s="97"/>
      <c r="W810" s="97"/>
      <c r="X810" s="97"/>
      <c r="Y810" s="97"/>
      <c r="Z810" s="97"/>
    </row>
    <row r="811" spans="1:26" ht="15" hidden="1">
      <c r="A811" s="97"/>
      <c r="B811" s="97"/>
      <c r="C811" s="97"/>
      <c r="D811" s="97"/>
      <c r="E811" s="97"/>
      <c r="F811" s="97"/>
      <c r="G811" s="97"/>
      <c r="H811" s="97"/>
      <c r="I811" s="97"/>
      <c r="J811" s="97"/>
      <c r="K811" s="97"/>
      <c r="L811" s="97"/>
      <c r="M811" s="97"/>
      <c r="N811" s="97"/>
      <c r="O811" s="97"/>
      <c r="P811" s="97"/>
      <c r="Q811" s="97"/>
      <c r="R811" s="97"/>
      <c r="S811" s="97"/>
      <c r="T811" s="97"/>
      <c r="U811" s="97"/>
      <c r="V811" s="97"/>
      <c r="W811" s="97"/>
      <c r="X811" s="97"/>
      <c r="Y811" s="97"/>
      <c r="Z811" s="97"/>
    </row>
    <row r="812" spans="1:26" ht="15" hidden="1">
      <c r="A812" s="97"/>
      <c r="B812" s="97"/>
      <c r="C812" s="97"/>
      <c r="D812" s="97"/>
      <c r="E812" s="97"/>
      <c r="F812" s="97"/>
      <c r="G812" s="97"/>
      <c r="H812" s="97"/>
      <c r="I812" s="97"/>
      <c r="J812" s="97"/>
      <c r="K812" s="97"/>
      <c r="L812" s="97"/>
      <c r="M812" s="97"/>
      <c r="N812" s="97"/>
      <c r="O812" s="97"/>
      <c r="P812" s="97"/>
      <c r="Q812" s="97"/>
      <c r="R812" s="97"/>
      <c r="S812" s="97"/>
      <c r="T812" s="97"/>
      <c r="U812" s="97"/>
      <c r="V812" s="97"/>
      <c r="W812" s="97"/>
      <c r="X812" s="97"/>
      <c r="Y812" s="97"/>
      <c r="Z812" s="97"/>
    </row>
    <row r="813" spans="1:26" ht="15" hidden="1">
      <c r="A813" s="97"/>
      <c r="B813" s="97"/>
      <c r="C813" s="97"/>
      <c r="D813" s="97"/>
      <c r="E813" s="97"/>
      <c r="F813" s="97"/>
      <c r="G813" s="97"/>
      <c r="H813" s="97"/>
      <c r="I813" s="97"/>
      <c r="J813" s="97"/>
      <c r="K813" s="97"/>
      <c r="L813" s="97"/>
      <c r="M813" s="97"/>
      <c r="N813" s="97"/>
      <c r="O813" s="97"/>
      <c r="P813" s="97"/>
      <c r="Q813" s="97"/>
      <c r="R813" s="97"/>
      <c r="S813" s="97"/>
      <c r="T813" s="97"/>
      <c r="U813" s="97"/>
      <c r="V813" s="97"/>
      <c r="W813" s="97"/>
      <c r="X813" s="97"/>
      <c r="Y813" s="97"/>
      <c r="Z813" s="97"/>
    </row>
    <row r="814" spans="1:26" ht="15" hidden="1">
      <c r="A814" s="97"/>
      <c r="B814" s="97"/>
      <c r="C814" s="97"/>
      <c r="D814" s="97"/>
      <c r="E814" s="97"/>
      <c r="F814" s="97"/>
      <c r="G814" s="97"/>
      <c r="H814" s="97"/>
      <c r="I814" s="97"/>
      <c r="J814" s="97"/>
      <c r="K814" s="97"/>
      <c r="L814" s="97"/>
      <c r="M814" s="97"/>
      <c r="N814" s="97"/>
      <c r="O814" s="97"/>
      <c r="P814" s="97"/>
      <c r="Q814" s="97"/>
      <c r="R814" s="97"/>
      <c r="S814" s="97"/>
      <c r="T814" s="97"/>
      <c r="U814" s="97"/>
      <c r="V814" s="97"/>
      <c r="W814" s="97"/>
      <c r="X814" s="97"/>
      <c r="Y814" s="97"/>
      <c r="Z814" s="97"/>
    </row>
    <row r="815" spans="1:26" ht="15" hidden="1">
      <c r="A815" s="97"/>
      <c r="B815" s="97"/>
      <c r="C815" s="97"/>
      <c r="D815" s="97"/>
      <c r="E815" s="97"/>
      <c r="F815" s="97"/>
      <c r="G815" s="97"/>
      <c r="H815" s="97"/>
      <c r="I815" s="97"/>
      <c r="J815" s="97"/>
      <c r="K815" s="97"/>
      <c r="L815" s="97"/>
      <c r="M815" s="97"/>
      <c r="N815" s="97"/>
      <c r="O815" s="97"/>
      <c r="P815" s="97"/>
      <c r="Q815" s="97"/>
      <c r="R815" s="97"/>
      <c r="S815" s="97"/>
      <c r="T815" s="97"/>
      <c r="U815" s="97"/>
      <c r="V815" s="97"/>
      <c r="W815" s="97"/>
      <c r="X815" s="97"/>
      <c r="Y815" s="97"/>
      <c r="Z815" s="97"/>
    </row>
    <row r="816" spans="1:26" ht="15" hidden="1">
      <c r="A816" s="97"/>
      <c r="B816" s="97"/>
      <c r="C816" s="97"/>
      <c r="D816" s="97"/>
      <c r="E816" s="97"/>
      <c r="F816" s="97"/>
      <c r="G816" s="97"/>
      <c r="H816" s="97"/>
      <c r="I816" s="97"/>
      <c r="J816" s="97"/>
      <c r="K816" s="97"/>
      <c r="L816" s="97"/>
      <c r="M816" s="97"/>
      <c r="N816" s="97"/>
      <c r="O816" s="97"/>
      <c r="P816" s="97"/>
      <c r="Q816" s="97"/>
      <c r="R816" s="97"/>
      <c r="S816" s="97"/>
      <c r="T816" s="97"/>
      <c r="U816" s="97"/>
      <c r="V816" s="97"/>
      <c r="W816" s="97"/>
      <c r="X816" s="97"/>
      <c r="Y816" s="97"/>
      <c r="Z816" s="97"/>
    </row>
    <row r="817" spans="1:26" ht="15" hidden="1">
      <c r="A817" s="97"/>
      <c r="B817" s="97"/>
      <c r="C817" s="97"/>
      <c r="D817" s="97"/>
      <c r="E817" s="97"/>
      <c r="F817" s="97"/>
      <c r="G817" s="97"/>
      <c r="H817" s="97"/>
      <c r="I817" s="97"/>
      <c r="J817" s="97"/>
      <c r="K817" s="97"/>
      <c r="L817" s="97"/>
      <c r="M817" s="97"/>
      <c r="N817" s="97"/>
      <c r="O817" s="97"/>
      <c r="P817" s="97"/>
      <c r="Q817" s="97"/>
      <c r="R817" s="97"/>
      <c r="S817" s="97"/>
      <c r="T817" s="97"/>
      <c r="U817" s="97"/>
      <c r="V817" s="97"/>
      <c r="W817" s="97"/>
      <c r="X817" s="97"/>
      <c r="Y817" s="97"/>
      <c r="Z817" s="97"/>
    </row>
    <row r="818" spans="1:26" ht="15" hidden="1">
      <c r="A818" s="97"/>
      <c r="B818" s="97"/>
      <c r="C818" s="97"/>
      <c r="D818" s="97"/>
      <c r="E818" s="97"/>
      <c r="F818" s="97"/>
      <c r="G818" s="97"/>
      <c r="H818" s="97"/>
      <c r="I818" s="97"/>
      <c r="J818" s="97"/>
      <c r="K818" s="97"/>
      <c r="L818" s="97"/>
      <c r="M818" s="97"/>
      <c r="N818" s="97"/>
      <c r="O818" s="97"/>
      <c r="P818" s="97"/>
      <c r="Q818" s="97"/>
      <c r="R818" s="97"/>
      <c r="S818" s="97"/>
      <c r="T818" s="97"/>
      <c r="U818" s="97"/>
      <c r="V818" s="97"/>
      <c r="W818" s="97"/>
      <c r="X818" s="97"/>
      <c r="Y818" s="97"/>
      <c r="Z818" s="97"/>
    </row>
    <row r="819" spans="1:26" ht="15" hidden="1">
      <c r="A819" s="97"/>
      <c r="B819" s="97"/>
      <c r="C819" s="97"/>
      <c r="D819" s="97"/>
      <c r="E819" s="97"/>
      <c r="F819" s="97"/>
      <c r="G819" s="97"/>
      <c r="H819" s="97"/>
      <c r="I819" s="97"/>
      <c r="J819" s="97"/>
      <c r="K819" s="97"/>
      <c r="L819" s="97"/>
      <c r="M819" s="97"/>
      <c r="N819" s="97"/>
      <c r="O819" s="97"/>
      <c r="P819" s="97"/>
      <c r="Q819" s="97"/>
      <c r="R819" s="97"/>
      <c r="S819" s="97"/>
      <c r="T819" s="97"/>
      <c r="U819" s="97"/>
      <c r="V819" s="97"/>
      <c r="W819" s="97"/>
      <c r="X819" s="97"/>
      <c r="Y819" s="97"/>
      <c r="Z819" s="97"/>
    </row>
    <row r="820" spans="1:26" ht="15" hidden="1">
      <c r="A820" s="97"/>
      <c r="B820" s="97"/>
      <c r="C820" s="97"/>
      <c r="D820" s="97"/>
      <c r="E820" s="97"/>
      <c r="F820" s="97"/>
      <c r="G820" s="97"/>
      <c r="H820" s="97"/>
      <c r="I820" s="97"/>
      <c r="J820" s="97"/>
      <c r="K820" s="97"/>
      <c r="L820" s="97"/>
      <c r="M820" s="97"/>
      <c r="N820" s="97"/>
      <c r="O820" s="97"/>
      <c r="P820" s="97"/>
      <c r="Q820" s="97"/>
      <c r="R820" s="97"/>
      <c r="S820" s="97"/>
      <c r="T820" s="97"/>
      <c r="U820" s="97"/>
      <c r="V820" s="97"/>
      <c r="W820" s="97"/>
      <c r="X820" s="97"/>
      <c r="Y820" s="97"/>
      <c r="Z820" s="97"/>
    </row>
    <row r="821" spans="1:26" ht="15" hidden="1">
      <c r="A821" s="97"/>
      <c r="B821" s="97"/>
      <c r="C821" s="97"/>
      <c r="D821" s="97"/>
      <c r="E821" s="97"/>
      <c r="F821" s="97"/>
      <c r="G821" s="97"/>
      <c r="H821" s="97"/>
      <c r="I821" s="97"/>
      <c r="J821" s="97"/>
      <c r="K821" s="97"/>
      <c r="L821" s="97"/>
      <c r="M821" s="97"/>
      <c r="N821" s="97"/>
      <c r="O821" s="97"/>
      <c r="P821" s="97"/>
      <c r="Q821" s="97"/>
      <c r="R821" s="97"/>
      <c r="S821" s="97"/>
      <c r="T821" s="97"/>
      <c r="U821" s="97"/>
      <c r="V821" s="97"/>
      <c r="W821" s="97"/>
      <c r="X821" s="97"/>
      <c r="Y821" s="97"/>
      <c r="Z821" s="97"/>
    </row>
    <row r="822" spans="1:26" ht="15" hidden="1">
      <c r="A822" s="97"/>
      <c r="B822" s="97"/>
      <c r="C822" s="97"/>
      <c r="D822" s="97"/>
      <c r="E822" s="97"/>
      <c r="F822" s="97"/>
      <c r="G822" s="97"/>
      <c r="H822" s="97"/>
      <c r="I822" s="97"/>
      <c r="J822" s="97"/>
      <c r="K822" s="97"/>
      <c r="L822" s="97"/>
      <c r="M822" s="97"/>
      <c r="N822" s="97"/>
      <c r="O822" s="97"/>
      <c r="P822" s="97"/>
      <c r="Q822" s="97"/>
      <c r="R822" s="97"/>
      <c r="S822" s="97"/>
      <c r="T822" s="97"/>
      <c r="U822" s="97"/>
      <c r="V822" s="97"/>
      <c r="W822" s="97"/>
      <c r="X822" s="97"/>
      <c r="Y822" s="97"/>
      <c r="Z822" s="97"/>
    </row>
    <row r="823" spans="1:26" ht="15" hidden="1">
      <c r="A823" s="97"/>
      <c r="B823" s="97"/>
      <c r="C823" s="97"/>
      <c r="D823" s="97"/>
      <c r="E823" s="97"/>
      <c r="F823" s="97"/>
      <c r="G823" s="97"/>
      <c r="H823" s="97"/>
      <c r="I823" s="97"/>
      <c r="J823" s="97"/>
      <c r="K823" s="97"/>
      <c r="L823" s="97"/>
      <c r="M823" s="97"/>
      <c r="N823" s="97"/>
      <c r="O823" s="97"/>
      <c r="P823" s="97"/>
      <c r="Q823" s="97"/>
      <c r="R823" s="97"/>
      <c r="S823" s="97"/>
      <c r="T823" s="97"/>
      <c r="U823" s="97"/>
      <c r="V823" s="97"/>
      <c r="W823" s="97"/>
      <c r="X823" s="97"/>
      <c r="Y823" s="97"/>
      <c r="Z823" s="97"/>
    </row>
    <row r="824" spans="1:26" ht="15" hidden="1">
      <c r="A824" s="97"/>
      <c r="B824" s="97"/>
      <c r="C824" s="97"/>
      <c r="D824" s="97"/>
      <c r="E824" s="97"/>
      <c r="F824" s="97"/>
      <c r="G824" s="97"/>
      <c r="H824" s="97"/>
      <c r="I824" s="97"/>
      <c r="J824" s="97"/>
      <c r="K824" s="97"/>
      <c r="L824" s="97"/>
      <c r="M824" s="97"/>
      <c r="N824" s="97"/>
      <c r="O824" s="97"/>
      <c r="P824" s="97"/>
      <c r="Q824" s="97"/>
      <c r="R824" s="97"/>
      <c r="S824" s="97"/>
      <c r="T824" s="97"/>
      <c r="U824" s="97"/>
      <c r="V824" s="97"/>
      <c r="W824" s="97"/>
      <c r="X824" s="97"/>
      <c r="Y824" s="97"/>
      <c r="Z824" s="97"/>
    </row>
    <row r="825" spans="1:26" ht="15" hidden="1">
      <c r="A825" s="97"/>
      <c r="B825" s="97"/>
      <c r="C825" s="97"/>
      <c r="D825" s="97"/>
      <c r="E825" s="97"/>
      <c r="F825" s="97"/>
      <c r="G825" s="97"/>
      <c r="H825" s="97"/>
      <c r="I825" s="97"/>
      <c r="J825" s="97"/>
      <c r="K825" s="97"/>
      <c r="L825" s="97"/>
      <c r="M825" s="97"/>
      <c r="N825" s="97"/>
      <c r="O825" s="97"/>
      <c r="P825" s="97"/>
      <c r="Q825" s="97"/>
      <c r="R825" s="97"/>
      <c r="S825" s="97"/>
      <c r="T825" s="97"/>
      <c r="U825" s="97"/>
      <c r="V825" s="97"/>
      <c r="W825" s="97"/>
      <c r="X825" s="97"/>
      <c r="Y825" s="97"/>
      <c r="Z825" s="97"/>
    </row>
    <row r="826" spans="1:26" ht="15" hidden="1">
      <c r="A826" s="97"/>
      <c r="B826" s="97"/>
      <c r="C826" s="97"/>
      <c r="D826" s="97"/>
      <c r="E826" s="97"/>
      <c r="F826" s="97"/>
      <c r="G826" s="97"/>
      <c r="H826" s="97"/>
      <c r="I826" s="97"/>
      <c r="J826" s="97"/>
      <c r="K826" s="97"/>
      <c r="L826" s="97"/>
      <c r="M826" s="97"/>
      <c r="N826" s="97"/>
      <c r="O826" s="97"/>
      <c r="P826" s="97"/>
      <c r="Q826" s="97"/>
      <c r="R826" s="97"/>
      <c r="S826" s="97"/>
      <c r="T826" s="97"/>
      <c r="U826" s="97"/>
      <c r="V826" s="97"/>
      <c r="W826" s="97"/>
      <c r="X826" s="97"/>
      <c r="Y826" s="97"/>
      <c r="Z826" s="97"/>
    </row>
    <row r="827" spans="1:26" ht="15" hidden="1">
      <c r="A827" s="97"/>
      <c r="B827" s="97"/>
      <c r="C827" s="97"/>
      <c r="D827" s="97"/>
      <c r="E827" s="97"/>
      <c r="F827" s="97"/>
      <c r="G827" s="97"/>
      <c r="H827" s="97"/>
      <c r="I827" s="97"/>
      <c r="J827" s="97"/>
      <c r="K827" s="97"/>
      <c r="L827" s="97"/>
      <c r="M827" s="97"/>
      <c r="N827" s="97"/>
      <c r="O827" s="97"/>
      <c r="P827" s="97"/>
      <c r="Q827" s="97"/>
      <c r="R827" s="97"/>
      <c r="S827" s="97"/>
      <c r="T827" s="97"/>
      <c r="U827" s="97"/>
      <c r="V827" s="97"/>
      <c r="W827" s="97"/>
      <c r="X827" s="97"/>
      <c r="Y827" s="97"/>
      <c r="Z827" s="97"/>
    </row>
    <row r="828" spans="1:26" ht="15" hidden="1">
      <c r="A828" s="97"/>
      <c r="B828" s="97"/>
      <c r="C828" s="97"/>
      <c r="D828" s="97"/>
      <c r="E828" s="97"/>
      <c r="F828" s="97"/>
      <c r="G828" s="97"/>
      <c r="H828" s="97"/>
      <c r="I828" s="97"/>
      <c r="J828" s="97"/>
      <c r="K828" s="97"/>
      <c r="L828" s="97"/>
      <c r="M828" s="97"/>
      <c r="N828" s="97"/>
      <c r="O828" s="97"/>
      <c r="P828" s="97"/>
      <c r="Q828" s="97"/>
      <c r="R828" s="97"/>
      <c r="S828" s="97"/>
      <c r="T828" s="97"/>
      <c r="U828" s="97"/>
      <c r="V828" s="97"/>
      <c r="W828" s="97"/>
      <c r="X828" s="97"/>
      <c r="Y828" s="97"/>
      <c r="Z828" s="97"/>
    </row>
    <row r="829" spans="1:26" ht="15" hidden="1">
      <c r="A829" s="97"/>
      <c r="B829" s="97"/>
      <c r="C829" s="97"/>
      <c r="D829" s="97"/>
      <c r="E829" s="97"/>
      <c r="F829" s="97"/>
      <c r="G829" s="97"/>
      <c r="H829" s="97"/>
      <c r="I829" s="97"/>
      <c r="J829" s="97"/>
      <c r="K829" s="97"/>
      <c r="L829" s="97"/>
      <c r="M829" s="97"/>
      <c r="N829" s="97"/>
      <c r="O829" s="97"/>
      <c r="P829" s="97"/>
      <c r="Q829" s="97"/>
      <c r="R829" s="97"/>
      <c r="S829" s="97"/>
      <c r="T829" s="97"/>
      <c r="U829" s="97"/>
      <c r="V829" s="97"/>
      <c r="W829" s="97"/>
      <c r="X829" s="97"/>
      <c r="Y829" s="97"/>
      <c r="Z829" s="97"/>
    </row>
    <row r="830" spans="1:26" ht="15" hidden="1">
      <c r="A830" s="97"/>
      <c r="B830" s="97"/>
      <c r="C830" s="97"/>
      <c r="D830" s="97"/>
      <c r="E830" s="97"/>
      <c r="F830" s="97"/>
      <c r="G830" s="97"/>
      <c r="H830" s="97"/>
      <c r="I830" s="97"/>
      <c r="J830" s="97"/>
      <c r="K830" s="97"/>
      <c r="L830" s="97"/>
      <c r="M830" s="97"/>
      <c r="N830" s="97"/>
      <c r="O830" s="97"/>
      <c r="P830" s="97"/>
      <c r="Q830" s="97"/>
      <c r="R830" s="97"/>
      <c r="S830" s="97"/>
      <c r="T830" s="97"/>
      <c r="U830" s="97"/>
      <c r="V830" s="97"/>
      <c r="W830" s="97"/>
      <c r="X830" s="97"/>
      <c r="Y830" s="97"/>
      <c r="Z830" s="97"/>
    </row>
    <row r="831" spans="1:26" ht="15" hidden="1">
      <c r="A831" s="97"/>
      <c r="B831" s="97"/>
      <c r="C831" s="97"/>
      <c r="D831" s="97"/>
      <c r="E831" s="97"/>
      <c r="F831" s="97"/>
      <c r="G831" s="97"/>
      <c r="H831" s="97"/>
      <c r="I831" s="97"/>
      <c r="J831" s="97"/>
      <c r="K831" s="97"/>
      <c r="L831" s="97"/>
      <c r="M831" s="97"/>
      <c r="N831" s="97"/>
      <c r="O831" s="97"/>
      <c r="P831" s="97"/>
      <c r="Q831" s="97"/>
      <c r="R831" s="97"/>
      <c r="S831" s="97"/>
      <c r="T831" s="97"/>
      <c r="U831" s="97"/>
      <c r="V831" s="97"/>
      <c r="W831" s="97"/>
      <c r="X831" s="97"/>
      <c r="Y831" s="97"/>
      <c r="Z831" s="97"/>
    </row>
    <row r="832" spans="1:26" ht="15" hidden="1">
      <c r="A832" s="97"/>
      <c r="B832" s="97"/>
      <c r="C832" s="97"/>
      <c r="D832" s="97"/>
      <c r="E832" s="97"/>
      <c r="F832" s="97"/>
      <c r="G832" s="97"/>
      <c r="H832" s="97"/>
      <c r="I832" s="97"/>
      <c r="J832" s="97"/>
      <c r="K832" s="97"/>
      <c r="L832" s="97"/>
      <c r="M832" s="97"/>
      <c r="N832" s="97"/>
      <c r="O832" s="97"/>
      <c r="P832" s="97"/>
      <c r="Q832" s="97"/>
      <c r="R832" s="97"/>
      <c r="S832" s="97"/>
      <c r="T832" s="97"/>
      <c r="U832" s="97"/>
      <c r="V832" s="97"/>
      <c r="W832" s="97"/>
      <c r="X832" s="97"/>
      <c r="Y832" s="97"/>
      <c r="Z832" s="97"/>
    </row>
    <row r="833" spans="1:26" ht="15" hidden="1">
      <c r="A833" s="97"/>
      <c r="B833" s="97"/>
      <c r="C833" s="97"/>
      <c r="D833" s="97"/>
      <c r="E833" s="97"/>
      <c r="F833" s="97"/>
      <c r="G833" s="97"/>
      <c r="H833" s="97"/>
      <c r="I833" s="97"/>
      <c r="J833" s="97"/>
      <c r="K833" s="97"/>
      <c r="L833" s="97"/>
      <c r="M833" s="97"/>
      <c r="N833" s="97"/>
      <c r="O833" s="97"/>
      <c r="P833" s="97"/>
      <c r="Q833" s="97"/>
      <c r="R833" s="97"/>
      <c r="S833" s="97"/>
      <c r="T833" s="97"/>
      <c r="U833" s="97"/>
      <c r="V833" s="97"/>
      <c r="W833" s="97"/>
      <c r="X833" s="97"/>
      <c r="Y833" s="97"/>
      <c r="Z833" s="97"/>
    </row>
    <row r="834" spans="1:26" ht="15" hidden="1">
      <c r="A834" s="97"/>
      <c r="B834" s="97"/>
      <c r="C834" s="97"/>
      <c r="D834" s="97"/>
      <c r="E834" s="97"/>
      <c r="F834" s="97"/>
      <c r="G834" s="97"/>
      <c r="H834" s="97"/>
      <c r="I834" s="97"/>
      <c r="J834" s="97"/>
      <c r="K834" s="97"/>
      <c r="L834" s="97"/>
      <c r="M834" s="97"/>
      <c r="N834" s="97"/>
      <c r="O834" s="97"/>
      <c r="P834" s="97"/>
      <c r="Q834" s="97"/>
      <c r="R834" s="97"/>
      <c r="S834" s="97"/>
      <c r="T834" s="97"/>
      <c r="U834" s="97"/>
      <c r="V834" s="97"/>
      <c r="W834" s="97"/>
      <c r="X834" s="97"/>
      <c r="Y834" s="97"/>
      <c r="Z834" s="97"/>
    </row>
    <row r="835" spans="1:26" ht="15" hidden="1">
      <c r="A835" s="97"/>
      <c r="B835" s="97"/>
      <c r="C835" s="97"/>
      <c r="D835" s="97"/>
      <c r="E835" s="97"/>
      <c r="F835" s="97"/>
      <c r="G835" s="97"/>
      <c r="H835" s="97"/>
      <c r="I835" s="97"/>
      <c r="J835" s="97"/>
      <c r="K835" s="97"/>
      <c r="L835" s="97"/>
      <c r="M835" s="97"/>
      <c r="N835" s="97"/>
      <c r="O835" s="97"/>
      <c r="P835" s="97"/>
      <c r="Q835" s="97"/>
      <c r="R835" s="97"/>
      <c r="S835" s="97"/>
      <c r="T835" s="97"/>
      <c r="U835" s="97"/>
      <c r="V835" s="97"/>
      <c r="W835" s="97"/>
      <c r="X835" s="97"/>
      <c r="Y835" s="97"/>
      <c r="Z835" s="97"/>
    </row>
    <row r="836" spans="1:26" ht="15" hidden="1">
      <c r="A836" s="97"/>
      <c r="B836" s="97"/>
      <c r="C836" s="97"/>
      <c r="D836" s="97"/>
      <c r="E836" s="97"/>
      <c r="F836" s="97"/>
      <c r="G836" s="97"/>
      <c r="H836" s="97"/>
      <c r="I836" s="97"/>
      <c r="J836" s="97"/>
      <c r="K836" s="97"/>
      <c r="L836" s="97"/>
      <c r="M836" s="97"/>
      <c r="N836" s="97"/>
      <c r="O836" s="97"/>
      <c r="P836" s="97"/>
      <c r="Q836" s="97"/>
      <c r="R836" s="97"/>
      <c r="S836" s="97"/>
      <c r="T836" s="97"/>
      <c r="U836" s="97"/>
      <c r="V836" s="97"/>
      <c r="W836" s="97"/>
      <c r="X836" s="97"/>
      <c r="Y836" s="97"/>
      <c r="Z836" s="97"/>
    </row>
    <row r="837" spans="1:26" ht="15" hidden="1">
      <c r="A837" s="97"/>
      <c r="B837" s="97"/>
      <c r="C837" s="97"/>
      <c r="D837" s="97"/>
      <c r="E837" s="97"/>
      <c r="F837" s="97"/>
      <c r="G837" s="97"/>
      <c r="H837" s="97"/>
      <c r="I837" s="97"/>
      <c r="J837" s="97"/>
      <c r="K837" s="97"/>
      <c r="L837" s="97"/>
      <c r="M837" s="97"/>
      <c r="N837" s="97"/>
      <c r="O837" s="97"/>
      <c r="P837" s="97"/>
      <c r="Q837" s="97"/>
      <c r="R837" s="97"/>
      <c r="S837" s="97"/>
      <c r="T837" s="97"/>
      <c r="U837" s="97"/>
      <c r="V837" s="97"/>
      <c r="W837" s="97"/>
      <c r="X837" s="97"/>
      <c r="Y837" s="97"/>
      <c r="Z837" s="97"/>
    </row>
    <row r="838" spans="1:26" ht="15" hidden="1">
      <c r="A838" s="97"/>
      <c r="B838" s="97"/>
      <c r="C838" s="97"/>
      <c r="D838" s="97"/>
      <c r="E838" s="97"/>
      <c r="F838" s="97"/>
      <c r="G838" s="97"/>
      <c r="H838" s="97"/>
      <c r="I838" s="97"/>
      <c r="J838" s="97"/>
      <c r="K838" s="97"/>
      <c r="L838" s="97"/>
      <c r="M838" s="97"/>
      <c r="N838" s="97"/>
      <c r="O838" s="97"/>
      <c r="P838" s="97"/>
      <c r="Q838" s="97"/>
      <c r="R838" s="97"/>
      <c r="S838" s="97"/>
      <c r="T838" s="97"/>
      <c r="U838" s="97"/>
      <c r="V838" s="97"/>
      <c r="W838" s="97"/>
      <c r="X838" s="97"/>
      <c r="Y838" s="97"/>
      <c r="Z838" s="97"/>
    </row>
    <row r="839" spans="1:26" ht="15" hidden="1">
      <c r="A839" s="97"/>
      <c r="B839" s="97"/>
      <c r="C839" s="97"/>
      <c r="D839" s="97"/>
      <c r="E839" s="97"/>
      <c r="F839" s="97"/>
      <c r="G839" s="97"/>
      <c r="H839" s="97"/>
      <c r="I839" s="97"/>
      <c r="J839" s="97"/>
      <c r="K839" s="97"/>
      <c r="L839" s="97"/>
      <c r="M839" s="97"/>
      <c r="N839" s="97"/>
      <c r="O839" s="97"/>
      <c r="P839" s="97"/>
      <c r="Q839" s="97"/>
      <c r="R839" s="97"/>
      <c r="S839" s="97"/>
      <c r="T839" s="97"/>
      <c r="U839" s="97"/>
      <c r="V839" s="97"/>
      <c r="W839" s="97"/>
      <c r="X839" s="97"/>
      <c r="Y839" s="97"/>
      <c r="Z839" s="97"/>
    </row>
    <row r="840" spans="1:26" ht="15" hidden="1">
      <c r="A840" s="97"/>
      <c r="B840" s="97"/>
      <c r="C840" s="97"/>
      <c r="D840" s="97"/>
      <c r="E840" s="97"/>
      <c r="F840" s="97"/>
      <c r="G840" s="97"/>
      <c r="H840" s="97"/>
      <c r="I840" s="97"/>
      <c r="J840" s="97"/>
      <c r="K840" s="97"/>
      <c r="L840" s="97"/>
      <c r="M840" s="97"/>
      <c r="N840" s="97"/>
      <c r="O840" s="97"/>
      <c r="P840" s="97"/>
      <c r="Q840" s="97"/>
      <c r="R840" s="97"/>
      <c r="S840" s="97"/>
      <c r="T840" s="97"/>
      <c r="U840" s="97"/>
      <c r="V840" s="97"/>
      <c r="W840" s="97"/>
      <c r="X840" s="97"/>
      <c r="Y840" s="97"/>
      <c r="Z840" s="97"/>
    </row>
    <row r="841" spans="1:26" ht="15" hidden="1">
      <c r="A841" s="97"/>
      <c r="B841" s="97"/>
      <c r="C841" s="97"/>
      <c r="D841" s="97"/>
      <c r="E841" s="97"/>
      <c r="F841" s="97"/>
      <c r="G841" s="97"/>
      <c r="H841" s="97"/>
      <c r="I841" s="97"/>
      <c r="J841" s="97"/>
      <c r="K841" s="97"/>
      <c r="L841" s="97"/>
      <c r="M841" s="97"/>
      <c r="N841" s="97"/>
      <c r="O841" s="97"/>
      <c r="P841" s="97"/>
      <c r="Q841" s="97"/>
      <c r="R841" s="97"/>
      <c r="S841" s="97"/>
      <c r="T841" s="97"/>
      <c r="U841" s="97"/>
      <c r="V841" s="97"/>
      <c r="W841" s="97"/>
      <c r="X841" s="97"/>
      <c r="Y841" s="97"/>
      <c r="Z841" s="97"/>
    </row>
    <row r="842" spans="1:26" ht="15" hidden="1">
      <c r="A842" s="97"/>
      <c r="B842" s="97"/>
      <c r="C842" s="97"/>
      <c r="D842" s="97"/>
      <c r="E842" s="97"/>
      <c r="F842" s="97"/>
      <c r="G842" s="97"/>
      <c r="H842" s="97"/>
      <c r="I842" s="97"/>
      <c r="J842" s="97"/>
      <c r="K842" s="97"/>
      <c r="L842" s="97"/>
      <c r="M842" s="97"/>
      <c r="N842" s="97"/>
      <c r="O842" s="97"/>
      <c r="P842" s="97"/>
      <c r="Q842" s="97"/>
      <c r="R842" s="97"/>
      <c r="S842" s="97"/>
      <c r="T842" s="97"/>
      <c r="U842" s="97"/>
      <c r="V842" s="97"/>
      <c r="W842" s="97"/>
      <c r="X842" s="97"/>
      <c r="Y842" s="97"/>
      <c r="Z842" s="97"/>
    </row>
    <row r="843" spans="1:26" ht="15" hidden="1">
      <c r="A843" s="97"/>
      <c r="B843" s="97"/>
      <c r="C843" s="97"/>
      <c r="D843" s="97"/>
      <c r="E843" s="97"/>
      <c r="F843" s="97"/>
      <c r="G843" s="97"/>
      <c r="H843" s="97"/>
      <c r="I843" s="97"/>
      <c r="J843" s="97"/>
      <c r="K843" s="97"/>
      <c r="L843" s="97"/>
      <c r="M843" s="97"/>
      <c r="N843" s="97"/>
      <c r="O843" s="97"/>
      <c r="P843" s="97"/>
      <c r="Q843" s="97"/>
      <c r="R843" s="97"/>
      <c r="S843" s="97"/>
      <c r="T843" s="97"/>
      <c r="U843" s="97"/>
      <c r="V843" s="97"/>
      <c r="W843" s="97"/>
      <c r="X843" s="97"/>
      <c r="Y843" s="97"/>
      <c r="Z843" s="97"/>
    </row>
    <row r="844" spans="1:26" ht="15" hidden="1">
      <c r="A844" s="97"/>
      <c r="B844" s="97"/>
      <c r="C844" s="97"/>
      <c r="D844" s="97"/>
      <c r="E844" s="97"/>
      <c r="F844" s="97"/>
      <c r="G844" s="97"/>
      <c r="H844" s="97"/>
      <c r="I844" s="97"/>
      <c r="J844" s="97"/>
      <c r="K844" s="97"/>
      <c r="L844" s="97"/>
      <c r="M844" s="97"/>
      <c r="N844" s="97"/>
      <c r="O844" s="97"/>
      <c r="P844" s="97"/>
      <c r="Q844" s="97"/>
      <c r="R844" s="97"/>
      <c r="S844" s="97"/>
      <c r="T844" s="97"/>
      <c r="U844" s="97"/>
      <c r="V844" s="97"/>
      <c r="W844" s="97"/>
      <c r="X844" s="97"/>
      <c r="Y844" s="97"/>
      <c r="Z844" s="97"/>
    </row>
    <row r="845" spans="1:26" ht="15" hidden="1">
      <c r="A845" s="97"/>
      <c r="B845" s="97"/>
      <c r="C845" s="97"/>
      <c r="D845" s="97"/>
      <c r="E845" s="97"/>
      <c r="F845" s="97"/>
      <c r="G845" s="97"/>
      <c r="H845" s="97"/>
      <c r="I845" s="97"/>
      <c r="J845" s="97"/>
      <c r="K845" s="97"/>
      <c r="L845" s="97"/>
      <c r="M845" s="97"/>
      <c r="N845" s="97"/>
      <c r="O845" s="97"/>
      <c r="P845" s="97"/>
      <c r="Q845" s="97"/>
      <c r="R845" s="97"/>
      <c r="S845" s="97"/>
      <c r="T845" s="97"/>
      <c r="U845" s="97"/>
      <c r="V845" s="97"/>
      <c r="W845" s="97"/>
      <c r="X845" s="97"/>
      <c r="Y845" s="97"/>
      <c r="Z845" s="97"/>
    </row>
    <row r="846" spans="1:26" ht="15" hidden="1">
      <c r="A846" s="97"/>
      <c r="B846" s="97"/>
      <c r="C846" s="97"/>
      <c r="D846" s="97"/>
      <c r="E846" s="97"/>
      <c r="F846" s="97"/>
      <c r="G846" s="97"/>
      <c r="H846" s="97"/>
      <c r="I846" s="97"/>
      <c r="J846" s="97"/>
      <c r="K846" s="97"/>
      <c r="L846" s="97"/>
      <c r="M846" s="97"/>
      <c r="N846" s="97"/>
      <c r="O846" s="97"/>
      <c r="P846" s="97"/>
      <c r="Q846" s="97"/>
      <c r="R846" s="97"/>
      <c r="S846" s="97"/>
      <c r="T846" s="97"/>
      <c r="U846" s="97"/>
      <c r="V846" s="97"/>
      <c r="W846" s="97"/>
      <c r="X846" s="97"/>
      <c r="Y846" s="97"/>
      <c r="Z846" s="97"/>
    </row>
    <row r="847" spans="1:26" ht="15" hidden="1">
      <c r="A847" s="97"/>
      <c r="B847" s="97"/>
      <c r="C847" s="97"/>
      <c r="D847" s="97"/>
      <c r="E847" s="97"/>
      <c r="F847" s="97"/>
      <c r="G847" s="97"/>
      <c r="H847" s="97"/>
      <c r="I847" s="97"/>
      <c r="J847" s="97"/>
      <c r="K847" s="97"/>
      <c r="L847" s="97"/>
      <c r="M847" s="97"/>
      <c r="N847" s="97"/>
      <c r="O847" s="97"/>
      <c r="P847" s="97"/>
      <c r="Q847" s="97"/>
      <c r="R847" s="97"/>
      <c r="S847" s="97"/>
      <c r="T847" s="97"/>
      <c r="U847" s="97"/>
      <c r="V847" s="97"/>
      <c r="W847" s="97"/>
      <c r="X847" s="97"/>
      <c r="Y847" s="97"/>
      <c r="Z847" s="97"/>
    </row>
    <row r="848" spans="1:26" ht="15" hidden="1">
      <c r="A848" s="97"/>
      <c r="B848" s="97"/>
      <c r="C848" s="97"/>
      <c r="D848" s="97"/>
      <c r="E848" s="97"/>
      <c r="F848" s="97"/>
      <c r="G848" s="97"/>
      <c r="H848" s="97"/>
      <c r="I848" s="97"/>
      <c r="J848" s="97"/>
      <c r="K848" s="97"/>
      <c r="L848" s="97"/>
      <c r="M848" s="97"/>
      <c r="N848" s="97"/>
      <c r="O848" s="97"/>
      <c r="P848" s="97"/>
      <c r="Q848" s="97"/>
      <c r="R848" s="97"/>
      <c r="S848" s="97"/>
      <c r="T848" s="97"/>
      <c r="U848" s="97"/>
      <c r="V848" s="97"/>
      <c r="W848" s="97"/>
      <c r="X848" s="97"/>
      <c r="Y848" s="97"/>
      <c r="Z848" s="97"/>
    </row>
    <row r="849" spans="1:26" ht="15" hidden="1">
      <c r="A849" s="97"/>
      <c r="B849" s="97"/>
      <c r="C849" s="97"/>
      <c r="D849" s="97"/>
      <c r="E849" s="97"/>
      <c r="F849" s="97"/>
      <c r="G849" s="97"/>
      <c r="H849" s="97"/>
      <c r="I849" s="97"/>
      <c r="J849" s="97"/>
      <c r="K849" s="97"/>
      <c r="L849" s="97"/>
      <c r="M849" s="97"/>
      <c r="N849" s="97"/>
      <c r="O849" s="97"/>
      <c r="P849" s="97"/>
      <c r="Q849" s="97"/>
      <c r="R849" s="97"/>
      <c r="S849" s="97"/>
      <c r="T849" s="97"/>
      <c r="U849" s="97"/>
      <c r="V849" s="97"/>
      <c r="W849" s="97"/>
      <c r="X849" s="97"/>
      <c r="Y849" s="97"/>
      <c r="Z849" s="97"/>
    </row>
    <row r="850" spans="1:26" ht="15" hidden="1">
      <c r="A850" s="97"/>
      <c r="B850" s="97"/>
      <c r="C850" s="97"/>
      <c r="D850" s="97"/>
      <c r="E850" s="97"/>
      <c r="F850" s="97"/>
      <c r="G850" s="97"/>
      <c r="H850" s="97"/>
      <c r="I850" s="97"/>
      <c r="J850" s="97"/>
      <c r="K850" s="97"/>
      <c r="L850" s="97"/>
      <c r="M850" s="97"/>
      <c r="N850" s="97"/>
      <c r="O850" s="97"/>
      <c r="P850" s="97"/>
      <c r="Q850" s="97"/>
      <c r="R850" s="97"/>
      <c r="S850" s="97"/>
      <c r="T850" s="97"/>
      <c r="U850" s="97"/>
      <c r="V850" s="97"/>
      <c r="W850" s="97"/>
      <c r="X850" s="97"/>
      <c r="Y850" s="97"/>
      <c r="Z850" s="97"/>
    </row>
    <row r="851" spans="1:26" ht="15" hidden="1">
      <c r="A851" s="97"/>
      <c r="B851" s="97"/>
      <c r="C851" s="97"/>
      <c r="D851" s="97"/>
      <c r="E851" s="97"/>
      <c r="F851" s="97"/>
      <c r="G851" s="97"/>
      <c r="H851" s="97"/>
      <c r="I851" s="97"/>
      <c r="J851" s="97"/>
      <c r="K851" s="97"/>
      <c r="L851" s="97"/>
      <c r="M851" s="97"/>
      <c r="N851" s="97"/>
      <c r="O851" s="97"/>
      <c r="P851" s="97"/>
      <c r="Q851" s="97"/>
      <c r="R851" s="97"/>
      <c r="S851" s="97"/>
      <c r="T851" s="97"/>
      <c r="U851" s="97"/>
      <c r="V851" s="97"/>
      <c r="W851" s="97"/>
      <c r="X851" s="97"/>
      <c r="Y851" s="97"/>
      <c r="Z851" s="97"/>
    </row>
    <row r="852" spans="1:26" ht="15" hidden="1">
      <c r="A852" s="97"/>
      <c r="B852" s="97"/>
      <c r="C852" s="97"/>
      <c r="D852" s="97"/>
      <c r="E852" s="97"/>
      <c r="F852" s="97"/>
      <c r="G852" s="97"/>
      <c r="H852" s="97"/>
      <c r="I852" s="97"/>
      <c r="J852" s="97"/>
      <c r="K852" s="97"/>
      <c r="L852" s="97"/>
      <c r="M852" s="97"/>
      <c r="N852" s="97"/>
      <c r="O852" s="97"/>
      <c r="P852" s="97"/>
      <c r="Q852" s="97"/>
      <c r="R852" s="97"/>
      <c r="S852" s="97"/>
      <c r="T852" s="97"/>
      <c r="U852" s="97"/>
      <c r="V852" s="97"/>
      <c r="W852" s="97"/>
      <c r="X852" s="97"/>
      <c r="Y852" s="97"/>
      <c r="Z852" s="97"/>
    </row>
    <row r="853" spans="1:26" ht="15" hidden="1">
      <c r="A853" s="97"/>
      <c r="B853" s="97"/>
      <c r="C853" s="97"/>
      <c r="D853" s="97"/>
      <c r="E853" s="97"/>
      <c r="F853" s="97"/>
      <c r="G853" s="97"/>
      <c r="H853" s="97"/>
      <c r="I853" s="97"/>
      <c r="J853" s="97"/>
      <c r="K853" s="97"/>
      <c r="L853" s="97"/>
      <c r="M853" s="97"/>
      <c r="N853" s="97"/>
      <c r="O853" s="97"/>
      <c r="P853" s="97"/>
      <c r="Q853" s="97"/>
      <c r="R853" s="97"/>
      <c r="S853" s="97"/>
      <c r="T853" s="97"/>
      <c r="U853" s="97"/>
      <c r="V853" s="97"/>
      <c r="W853" s="97"/>
      <c r="X853" s="97"/>
      <c r="Y853" s="97"/>
      <c r="Z853" s="97"/>
    </row>
    <row r="854" spans="1:26" ht="15" hidden="1">
      <c r="A854" s="97"/>
      <c r="B854" s="97"/>
      <c r="C854" s="97"/>
      <c r="D854" s="97"/>
      <c r="E854" s="97"/>
      <c r="F854" s="97"/>
      <c r="G854" s="97"/>
      <c r="H854" s="97"/>
      <c r="I854" s="97"/>
      <c r="J854" s="97"/>
      <c r="K854" s="97"/>
      <c r="L854" s="97"/>
      <c r="M854" s="97"/>
      <c r="N854" s="97"/>
      <c r="O854" s="97"/>
      <c r="P854" s="97"/>
      <c r="Q854" s="97"/>
      <c r="R854" s="97"/>
      <c r="S854" s="97"/>
      <c r="T854" s="97"/>
      <c r="U854" s="97"/>
      <c r="V854" s="97"/>
      <c r="W854" s="97"/>
      <c r="X854" s="97"/>
      <c r="Y854" s="97"/>
      <c r="Z854" s="97"/>
    </row>
    <row r="855" spans="1:26" ht="15" hidden="1">
      <c r="A855" s="97"/>
      <c r="B855" s="97"/>
      <c r="C855" s="97"/>
      <c r="D855" s="97"/>
      <c r="E855" s="97"/>
      <c r="F855" s="97"/>
      <c r="G855" s="97"/>
      <c r="H855" s="97"/>
      <c r="I855" s="97"/>
      <c r="J855" s="97"/>
      <c r="K855" s="97"/>
      <c r="L855" s="97"/>
      <c r="M855" s="97"/>
      <c r="N855" s="97"/>
      <c r="O855" s="97"/>
      <c r="P855" s="97"/>
      <c r="Q855" s="97"/>
      <c r="R855" s="97"/>
      <c r="S855" s="97"/>
      <c r="T855" s="97"/>
      <c r="U855" s="97"/>
      <c r="V855" s="97"/>
      <c r="W855" s="97"/>
      <c r="X855" s="97"/>
      <c r="Y855" s="97"/>
      <c r="Z855" s="97"/>
    </row>
    <row r="856" spans="1:26" ht="15" hidden="1">
      <c r="A856" s="97"/>
      <c r="B856" s="97"/>
      <c r="C856" s="97"/>
      <c r="D856" s="97"/>
      <c r="E856" s="97"/>
      <c r="F856" s="97"/>
      <c r="G856" s="97"/>
      <c r="H856" s="97"/>
      <c r="I856" s="97"/>
      <c r="J856" s="97"/>
      <c r="K856" s="97"/>
      <c r="L856" s="97"/>
      <c r="M856" s="97"/>
      <c r="N856" s="97"/>
      <c r="O856" s="97"/>
      <c r="P856" s="97"/>
      <c r="Q856" s="97"/>
      <c r="R856" s="97"/>
      <c r="S856" s="97"/>
      <c r="T856" s="97"/>
      <c r="U856" s="97"/>
      <c r="V856" s="97"/>
      <c r="W856" s="97"/>
      <c r="X856" s="97"/>
      <c r="Y856" s="97"/>
      <c r="Z856" s="97"/>
    </row>
    <row r="857" spans="1:26" ht="15" hidden="1">
      <c r="A857" s="97"/>
      <c r="B857" s="97"/>
      <c r="C857" s="97"/>
      <c r="D857" s="97"/>
      <c r="E857" s="97"/>
      <c r="F857" s="97"/>
      <c r="G857" s="97"/>
      <c r="H857" s="97"/>
      <c r="I857" s="97"/>
      <c r="J857" s="97"/>
      <c r="K857" s="97"/>
      <c r="L857" s="97"/>
      <c r="M857" s="97"/>
      <c r="N857" s="97"/>
      <c r="O857" s="97"/>
      <c r="P857" s="97"/>
      <c r="Q857" s="97"/>
      <c r="R857" s="97"/>
      <c r="S857" s="97"/>
      <c r="T857" s="97"/>
      <c r="U857" s="97"/>
      <c r="V857" s="97"/>
      <c r="W857" s="97"/>
      <c r="X857" s="97"/>
      <c r="Y857" s="97"/>
      <c r="Z857" s="97"/>
    </row>
    <row r="858" spans="1:26" ht="15" hidden="1">
      <c r="A858" s="97"/>
      <c r="B858" s="97"/>
      <c r="C858" s="97"/>
      <c r="D858" s="97"/>
      <c r="E858" s="97"/>
      <c r="F858" s="97"/>
      <c r="G858" s="97"/>
      <c r="H858" s="97"/>
      <c r="I858" s="97"/>
      <c r="J858" s="97"/>
      <c r="K858" s="97"/>
      <c r="L858" s="97"/>
      <c r="M858" s="97"/>
      <c r="N858" s="97"/>
      <c r="O858" s="97"/>
      <c r="P858" s="97"/>
      <c r="Q858" s="97"/>
      <c r="R858" s="97"/>
      <c r="S858" s="97"/>
      <c r="T858" s="97"/>
      <c r="U858" s="97"/>
      <c r="V858" s="97"/>
      <c r="W858" s="97"/>
      <c r="X858" s="97"/>
      <c r="Y858" s="97"/>
      <c r="Z858" s="97"/>
    </row>
    <row r="859" spans="1:26" ht="15" hidden="1">
      <c r="A859" s="97"/>
      <c r="B859" s="97"/>
      <c r="C859" s="97"/>
      <c r="D859" s="97"/>
      <c r="E859" s="97"/>
      <c r="F859" s="97"/>
      <c r="G859" s="97"/>
      <c r="H859" s="97"/>
      <c r="I859" s="97"/>
      <c r="J859" s="97"/>
      <c r="K859" s="97"/>
      <c r="L859" s="97"/>
      <c r="M859" s="97"/>
      <c r="N859" s="97"/>
      <c r="O859" s="97"/>
      <c r="P859" s="97"/>
      <c r="Q859" s="97"/>
      <c r="R859" s="97"/>
      <c r="S859" s="97"/>
      <c r="T859" s="97"/>
      <c r="U859" s="97"/>
      <c r="V859" s="97"/>
      <c r="W859" s="97"/>
      <c r="X859" s="97"/>
      <c r="Y859" s="97"/>
      <c r="Z859" s="97"/>
    </row>
    <row r="860" spans="1:26" ht="15" hidden="1">
      <c r="A860" s="97"/>
      <c r="B860" s="97"/>
      <c r="C860" s="97"/>
      <c r="D860" s="97"/>
      <c r="E860" s="97"/>
      <c r="F860" s="97"/>
      <c r="G860" s="97"/>
      <c r="H860" s="97"/>
      <c r="I860" s="97"/>
      <c r="J860" s="97"/>
      <c r="K860" s="97"/>
      <c r="L860" s="97"/>
      <c r="M860" s="97"/>
      <c r="N860" s="97"/>
      <c r="O860" s="97"/>
      <c r="P860" s="97"/>
      <c r="Q860" s="97"/>
      <c r="R860" s="97"/>
      <c r="S860" s="97"/>
      <c r="T860" s="97"/>
      <c r="U860" s="97"/>
      <c r="V860" s="97"/>
      <c r="W860" s="97"/>
      <c r="X860" s="97"/>
      <c r="Y860" s="97"/>
      <c r="Z860" s="97"/>
    </row>
    <row r="861" spans="1:26" ht="15" hidden="1">
      <c r="A861" s="97"/>
      <c r="B861" s="97"/>
      <c r="C861" s="97"/>
      <c r="D861" s="97"/>
      <c r="E861" s="97"/>
      <c r="F861" s="97"/>
      <c r="G861" s="97"/>
      <c r="H861" s="97"/>
      <c r="I861" s="97"/>
      <c r="J861" s="97"/>
      <c r="K861" s="97"/>
      <c r="L861" s="97"/>
      <c r="M861" s="97"/>
      <c r="N861" s="97"/>
      <c r="O861" s="97"/>
      <c r="P861" s="97"/>
      <c r="Q861" s="97"/>
      <c r="R861" s="97"/>
      <c r="S861" s="97"/>
      <c r="T861" s="97"/>
      <c r="U861" s="97"/>
      <c r="V861" s="97"/>
      <c r="W861" s="97"/>
      <c r="X861" s="97"/>
      <c r="Y861" s="97"/>
      <c r="Z861" s="97"/>
    </row>
    <row r="862" spans="1:26" ht="15" hidden="1">
      <c r="A862" s="97"/>
      <c r="B862" s="97"/>
      <c r="C862" s="97"/>
      <c r="D862" s="97"/>
      <c r="E862" s="97"/>
      <c r="F862" s="97"/>
      <c r="G862" s="97"/>
      <c r="H862" s="97"/>
      <c r="I862" s="97"/>
      <c r="J862" s="97"/>
      <c r="K862" s="97"/>
      <c r="L862" s="97"/>
      <c r="M862" s="97"/>
      <c r="N862" s="97"/>
      <c r="O862" s="97"/>
      <c r="P862" s="97"/>
      <c r="Q862" s="97"/>
      <c r="R862" s="97"/>
      <c r="S862" s="97"/>
      <c r="T862" s="97"/>
      <c r="U862" s="97"/>
      <c r="V862" s="97"/>
      <c r="W862" s="97"/>
      <c r="X862" s="97"/>
      <c r="Y862" s="97"/>
      <c r="Z862" s="97"/>
    </row>
    <row r="863" spans="1:26" ht="15" hidden="1">
      <c r="A863" s="97"/>
      <c r="B863" s="97"/>
      <c r="C863" s="97"/>
      <c r="D863" s="97"/>
      <c r="E863" s="97"/>
      <c r="F863" s="97"/>
      <c r="G863" s="97"/>
      <c r="H863" s="97"/>
      <c r="I863" s="97"/>
      <c r="J863" s="97"/>
      <c r="K863" s="97"/>
      <c r="L863" s="97"/>
      <c r="M863" s="97"/>
      <c r="N863" s="97"/>
      <c r="O863" s="97"/>
      <c r="P863" s="97"/>
      <c r="Q863" s="97"/>
      <c r="R863" s="97"/>
      <c r="S863" s="97"/>
      <c r="T863" s="97"/>
      <c r="U863" s="97"/>
      <c r="V863" s="97"/>
      <c r="W863" s="97"/>
      <c r="X863" s="97"/>
      <c r="Y863" s="97"/>
      <c r="Z863" s="97"/>
    </row>
    <row r="864" spans="1:26" ht="15" hidden="1">
      <c r="A864" s="97"/>
      <c r="B864" s="97"/>
      <c r="C864" s="97"/>
      <c r="D864" s="97"/>
      <c r="E864" s="97"/>
      <c r="F864" s="97"/>
      <c r="G864" s="97"/>
      <c r="H864" s="97"/>
      <c r="I864" s="97"/>
      <c r="J864" s="97"/>
      <c r="K864" s="97"/>
      <c r="L864" s="97"/>
      <c r="M864" s="97"/>
      <c r="N864" s="97"/>
      <c r="O864" s="97"/>
      <c r="P864" s="97"/>
      <c r="Q864" s="97"/>
      <c r="R864" s="97"/>
      <c r="S864" s="97"/>
      <c r="T864" s="97"/>
      <c r="U864" s="97"/>
      <c r="V864" s="97"/>
      <c r="W864" s="97"/>
      <c r="X864" s="97"/>
      <c r="Y864" s="97"/>
      <c r="Z864" s="97"/>
    </row>
    <row r="865" spans="1:26" ht="15" hidden="1">
      <c r="A865" s="97"/>
      <c r="B865" s="97"/>
      <c r="C865" s="97"/>
      <c r="D865" s="97"/>
      <c r="E865" s="97"/>
      <c r="F865" s="97"/>
      <c r="G865" s="97"/>
      <c r="H865" s="97"/>
      <c r="I865" s="97"/>
      <c r="J865" s="97"/>
      <c r="K865" s="97"/>
      <c r="L865" s="97"/>
      <c r="M865" s="97"/>
      <c r="N865" s="97"/>
      <c r="O865" s="97"/>
      <c r="P865" s="97"/>
      <c r="Q865" s="97"/>
      <c r="R865" s="97"/>
      <c r="S865" s="97"/>
      <c r="T865" s="97"/>
      <c r="U865" s="97"/>
      <c r="V865" s="97"/>
      <c r="W865" s="97"/>
      <c r="X865" s="97"/>
      <c r="Y865" s="97"/>
      <c r="Z865" s="97"/>
    </row>
    <row r="866" spans="1:26" ht="15" hidden="1">
      <c r="A866" s="97"/>
      <c r="B866" s="97"/>
      <c r="C866" s="97"/>
      <c r="D866" s="97"/>
      <c r="E866" s="97"/>
      <c r="F866" s="97"/>
      <c r="G866" s="97"/>
      <c r="H866" s="97"/>
      <c r="I866" s="97"/>
      <c r="J866" s="97"/>
      <c r="K866" s="97"/>
      <c r="L866" s="97"/>
      <c r="M866" s="97"/>
      <c r="N866" s="97"/>
      <c r="O866" s="97"/>
      <c r="P866" s="97"/>
      <c r="Q866" s="97"/>
      <c r="R866" s="97"/>
      <c r="S866" s="97"/>
      <c r="T866" s="97"/>
      <c r="U866" s="97"/>
      <c r="V866" s="97"/>
      <c r="W866" s="97"/>
      <c r="X866" s="97"/>
      <c r="Y866" s="97"/>
      <c r="Z866" s="97"/>
    </row>
    <row r="867" spans="1:26" ht="15" hidden="1">
      <c r="A867" s="97"/>
      <c r="B867" s="97"/>
      <c r="C867" s="97"/>
      <c r="D867" s="97"/>
      <c r="E867" s="97"/>
      <c r="F867" s="97"/>
      <c r="G867" s="97"/>
      <c r="H867" s="97"/>
      <c r="I867" s="97"/>
      <c r="J867" s="97"/>
      <c r="K867" s="97"/>
      <c r="L867" s="97"/>
      <c r="M867" s="97"/>
      <c r="N867" s="97"/>
      <c r="O867" s="97"/>
      <c r="P867" s="97"/>
      <c r="Q867" s="97"/>
      <c r="R867" s="97"/>
      <c r="S867" s="97"/>
      <c r="T867" s="97"/>
      <c r="U867" s="97"/>
      <c r="V867" s="97"/>
      <c r="W867" s="97"/>
      <c r="X867" s="97"/>
      <c r="Y867" s="97"/>
      <c r="Z867" s="97"/>
    </row>
    <row r="868" spans="1:26" ht="15" hidden="1">
      <c r="A868" s="97"/>
      <c r="B868" s="97"/>
      <c r="C868" s="97"/>
      <c r="D868" s="97"/>
      <c r="E868" s="97"/>
      <c r="F868" s="97"/>
      <c r="G868" s="97"/>
      <c r="H868" s="97"/>
      <c r="I868" s="97"/>
      <c r="J868" s="97"/>
      <c r="K868" s="97"/>
      <c r="L868" s="97"/>
      <c r="M868" s="97"/>
      <c r="N868" s="97"/>
      <c r="O868" s="97"/>
      <c r="P868" s="97"/>
      <c r="Q868" s="97"/>
      <c r="R868" s="97"/>
      <c r="S868" s="97"/>
      <c r="T868" s="97"/>
      <c r="U868" s="97"/>
      <c r="V868" s="97"/>
      <c r="W868" s="97"/>
      <c r="X868" s="97"/>
      <c r="Y868" s="97"/>
      <c r="Z868" s="97"/>
    </row>
    <row r="869" spans="1:26" ht="15" hidden="1">
      <c r="A869" s="97"/>
      <c r="B869" s="97"/>
      <c r="C869" s="97"/>
      <c r="D869" s="97"/>
      <c r="E869" s="97"/>
      <c r="F869" s="97"/>
      <c r="G869" s="97"/>
      <c r="H869" s="97"/>
      <c r="I869" s="97"/>
      <c r="J869" s="97"/>
      <c r="K869" s="97"/>
      <c r="L869" s="97"/>
      <c r="M869" s="97"/>
      <c r="N869" s="97"/>
      <c r="O869" s="97"/>
      <c r="P869" s="97"/>
      <c r="Q869" s="97"/>
      <c r="R869" s="97"/>
      <c r="S869" s="97"/>
      <c r="T869" s="97"/>
      <c r="U869" s="97"/>
      <c r="V869" s="97"/>
      <c r="W869" s="97"/>
      <c r="X869" s="97"/>
      <c r="Y869" s="97"/>
      <c r="Z869" s="97"/>
    </row>
    <row r="870" spans="1:26" ht="15" hidden="1">
      <c r="A870" s="97"/>
      <c r="B870" s="97"/>
      <c r="C870" s="97"/>
      <c r="D870" s="97"/>
      <c r="E870" s="97"/>
      <c r="F870" s="97"/>
      <c r="G870" s="97"/>
      <c r="H870" s="97"/>
      <c r="I870" s="97"/>
      <c r="J870" s="97"/>
      <c r="K870" s="97"/>
      <c r="L870" s="97"/>
      <c r="M870" s="97"/>
      <c r="N870" s="97"/>
      <c r="O870" s="97"/>
      <c r="P870" s="97"/>
      <c r="Q870" s="97"/>
      <c r="R870" s="97"/>
      <c r="S870" s="97"/>
      <c r="T870" s="97"/>
      <c r="U870" s="97"/>
      <c r="V870" s="97"/>
      <c r="W870" s="97"/>
      <c r="X870" s="97"/>
      <c r="Y870" s="97"/>
      <c r="Z870" s="97"/>
    </row>
    <row r="871" spans="1:26" ht="15" hidden="1">
      <c r="A871" s="97"/>
      <c r="B871" s="97"/>
      <c r="C871" s="97"/>
      <c r="D871" s="97"/>
      <c r="E871" s="97"/>
      <c r="F871" s="97"/>
      <c r="G871" s="97"/>
      <c r="H871" s="97"/>
      <c r="I871" s="97"/>
      <c r="J871" s="97"/>
      <c r="K871" s="97"/>
      <c r="L871" s="97"/>
      <c r="M871" s="97"/>
      <c r="N871" s="97"/>
      <c r="O871" s="97"/>
      <c r="P871" s="97"/>
      <c r="Q871" s="97"/>
      <c r="R871" s="97"/>
      <c r="S871" s="97"/>
      <c r="T871" s="97"/>
      <c r="U871" s="97"/>
      <c r="V871" s="97"/>
      <c r="W871" s="97"/>
      <c r="X871" s="97"/>
      <c r="Y871" s="97"/>
      <c r="Z871" s="97"/>
    </row>
    <row r="872" spans="1:26" ht="15" hidden="1">
      <c r="A872" s="97"/>
      <c r="B872" s="97"/>
      <c r="C872" s="97"/>
      <c r="D872" s="97"/>
      <c r="E872" s="97"/>
      <c r="F872" s="97"/>
      <c r="G872" s="97"/>
      <c r="H872" s="97"/>
      <c r="I872" s="97"/>
      <c r="J872" s="97"/>
      <c r="K872" s="97"/>
      <c r="L872" s="97"/>
      <c r="M872" s="97"/>
      <c r="N872" s="97"/>
      <c r="O872" s="97"/>
      <c r="P872" s="97"/>
      <c r="Q872" s="97"/>
      <c r="R872" s="97"/>
      <c r="S872" s="97"/>
      <c r="T872" s="97"/>
      <c r="U872" s="97"/>
      <c r="V872" s="97"/>
      <c r="W872" s="97"/>
      <c r="X872" s="97"/>
      <c r="Y872" s="97"/>
      <c r="Z872" s="97"/>
    </row>
    <row r="873" spans="1:26" ht="15" hidden="1">
      <c r="A873" s="97"/>
      <c r="B873" s="97"/>
      <c r="C873" s="97"/>
      <c r="D873" s="97"/>
      <c r="E873" s="97"/>
      <c r="F873" s="97"/>
      <c r="G873" s="97"/>
      <c r="H873" s="97"/>
      <c r="I873" s="97"/>
      <c r="J873" s="97"/>
      <c r="K873" s="97"/>
      <c r="L873" s="97"/>
      <c r="M873" s="97"/>
      <c r="N873" s="97"/>
      <c r="O873" s="97"/>
      <c r="P873" s="97"/>
      <c r="Q873" s="97"/>
      <c r="R873" s="97"/>
      <c r="S873" s="97"/>
      <c r="T873" s="97"/>
      <c r="U873" s="97"/>
      <c r="V873" s="97"/>
      <c r="W873" s="97"/>
      <c r="X873" s="97"/>
      <c r="Y873" s="97"/>
      <c r="Z873" s="97"/>
    </row>
    <row r="874" spans="1:26" ht="15" hidden="1">
      <c r="A874" s="97"/>
      <c r="B874" s="97"/>
      <c r="C874" s="97"/>
      <c r="D874" s="97"/>
      <c r="E874" s="97"/>
      <c r="F874" s="97"/>
      <c r="G874" s="97"/>
      <c r="H874" s="97"/>
      <c r="I874" s="97"/>
      <c r="J874" s="97"/>
      <c r="K874" s="97"/>
      <c r="L874" s="97"/>
      <c r="M874" s="97"/>
      <c r="N874" s="97"/>
      <c r="O874" s="97"/>
      <c r="P874" s="97"/>
      <c r="Q874" s="97"/>
      <c r="R874" s="97"/>
      <c r="S874" s="97"/>
      <c r="T874" s="97"/>
      <c r="U874" s="97"/>
      <c r="V874" s="97"/>
      <c r="W874" s="97"/>
      <c r="X874" s="97"/>
      <c r="Y874" s="97"/>
      <c r="Z874" s="97"/>
    </row>
    <row r="875" spans="1:26" ht="15" hidden="1">
      <c r="A875" s="97"/>
      <c r="B875" s="97"/>
      <c r="C875" s="97"/>
      <c r="D875" s="97"/>
      <c r="E875" s="97"/>
      <c r="F875" s="97"/>
      <c r="G875" s="97"/>
      <c r="H875" s="97"/>
      <c r="I875" s="97"/>
      <c r="J875" s="97"/>
      <c r="K875" s="97"/>
      <c r="L875" s="97"/>
      <c r="M875" s="97"/>
      <c r="N875" s="97"/>
      <c r="O875" s="97"/>
      <c r="P875" s="97"/>
      <c r="Q875" s="97"/>
      <c r="R875" s="97"/>
      <c r="S875" s="97"/>
      <c r="T875" s="97"/>
      <c r="U875" s="97"/>
      <c r="V875" s="97"/>
      <c r="W875" s="97"/>
      <c r="X875" s="97"/>
      <c r="Y875" s="97"/>
      <c r="Z875" s="97"/>
    </row>
    <row r="876" spans="1:26" ht="15" hidden="1">
      <c r="A876" s="97"/>
      <c r="B876" s="97"/>
      <c r="C876" s="97"/>
      <c r="D876" s="97"/>
      <c r="E876" s="97"/>
      <c r="F876" s="97"/>
      <c r="G876" s="97"/>
      <c r="H876" s="97"/>
      <c r="I876" s="97"/>
      <c r="J876" s="97"/>
      <c r="K876" s="97"/>
      <c r="L876" s="97"/>
      <c r="M876" s="97"/>
      <c r="N876" s="97"/>
      <c r="O876" s="97"/>
      <c r="P876" s="97"/>
      <c r="Q876" s="97"/>
      <c r="R876" s="97"/>
      <c r="S876" s="97"/>
      <c r="T876" s="97"/>
      <c r="U876" s="97"/>
      <c r="V876" s="97"/>
      <c r="W876" s="97"/>
      <c r="X876" s="97"/>
      <c r="Y876" s="97"/>
      <c r="Z876" s="97"/>
    </row>
    <row r="877" spans="1:26" ht="15" hidden="1">
      <c r="A877" s="97"/>
      <c r="B877" s="97"/>
      <c r="C877" s="97"/>
      <c r="D877" s="97"/>
      <c r="E877" s="97"/>
      <c r="F877" s="97"/>
      <c r="G877" s="97"/>
      <c r="H877" s="97"/>
      <c r="I877" s="97"/>
      <c r="J877" s="97"/>
      <c r="K877" s="97"/>
      <c r="L877" s="97"/>
      <c r="M877" s="97"/>
      <c r="N877" s="97"/>
      <c r="O877" s="97"/>
      <c r="P877" s="97"/>
      <c r="Q877" s="97"/>
      <c r="R877" s="97"/>
      <c r="S877" s="97"/>
      <c r="T877" s="97"/>
      <c r="U877" s="97"/>
      <c r="V877" s="97"/>
      <c r="W877" s="97"/>
      <c r="X877" s="97"/>
      <c r="Y877" s="97"/>
      <c r="Z877" s="97"/>
    </row>
    <row r="878" spans="1:26" ht="15" hidden="1">
      <c r="A878" s="97"/>
      <c r="B878" s="97"/>
      <c r="C878" s="97"/>
      <c r="D878" s="97"/>
      <c r="E878" s="97"/>
      <c r="F878" s="97"/>
      <c r="G878" s="97"/>
      <c r="H878" s="97"/>
      <c r="I878" s="97"/>
      <c r="J878" s="97"/>
      <c r="K878" s="97"/>
      <c r="L878" s="97"/>
      <c r="M878" s="97"/>
      <c r="N878" s="97"/>
      <c r="O878" s="97"/>
      <c r="P878" s="97"/>
      <c r="Q878" s="97"/>
      <c r="R878" s="97"/>
      <c r="S878" s="97"/>
      <c r="T878" s="97"/>
      <c r="U878" s="97"/>
      <c r="V878" s="97"/>
      <c r="W878" s="97"/>
      <c r="X878" s="97"/>
      <c r="Y878" s="97"/>
      <c r="Z878" s="97"/>
    </row>
    <row r="879" spans="1:26" ht="15" hidden="1">
      <c r="A879" s="97"/>
      <c r="B879" s="97"/>
      <c r="C879" s="97"/>
      <c r="D879" s="97"/>
      <c r="E879" s="97"/>
      <c r="F879" s="97"/>
      <c r="G879" s="97"/>
      <c r="H879" s="97"/>
      <c r="I879" s="97"/>
      <c r="J879" s="97"/>
      <c r="K879" s="97"/>
      <c r="L879" s="97"/>
      <c r="M879" s="97"/>
      <c r="N879" s="97"/>
      <c r="O879" s="97"/>
      <c r="P879" s="97"/>
      <c r="Q879" s="97"/>
      <c r="R879" s="97"/>
      <c r="S879" s="97"/>
      <c r="T879" s="97"/>
      <c r="U879" s="97"/>
      <c r="V879" s="97"/>
      <c r="W879" s="97"/>
      <c r="X879" s="97"/>
      <c r="Y879" s="97"/>
      <c r="Z879" s="97"/>
    </row>
    <row r="880" spans="1:26" ht="15" hidden="1">
      <c r="A880" s="97"/>
      <c r="B880" s="97"/>
      <c r="C880" s="97"/>
      <c r="D880" s="97"/>
      <c r="E880" s="97"/>
      <c r="F880" s="97"/>
      <c r="G880" s="97"/>
      <c r="H880" s="97"/>
      <c r="I880" s="97"/>
      <c r="J880" s="97"/>
      <c r="K880" s="97"/>
      <c r="L880" s="97"/>
      <c r="M880" s="97"/>
      <c r="N880" s="97"/>
      <c r="O880" s="97"/>
      <c r="P880" s="97"/>
      <c r="Q880" s="97"/>
      <c r="R880" s="97"/>
      <c r="S880" s="97"/>
      <c r="T880" s="97"/>
      <c r="U880" s="97"/>
      <c r="V880" s="97"/>
      <c r="W880" s="97"/>
      <c r="X880" s="97"/>
      <c r="Y880" s="97"/>
      <c r="Z880" s="97"/>
    </row>
    <row r="881" spans="1:26" ht="15" hidden="1">
      <c r="A881" s="97"/>
      <c r="B881" s="97"/>
      <c r="C881" s="97"/>
      <c r="D881" s="97"/>
      <c r="E881" s="97"/>
      <c r="F881" s="97"/>
      <c r="G881" s="97"/>
      <c r="H881" s="97"/>
      <c r="I881" s="97"/>
      <c r="J881" s="97"/>
      <c r="K881" s="97"/>
      <c r="L881" s="97"/>
      <c r="M881" s="97"/>
      <c r="N881" s="97"/>
      <c r="O881" s="97"/>
      <c r="P881" s="97"/>
      <c r="Q881" s="97"/>
      <c r="R881" s="97"/>
      <c r="S881" s="97"/>
      <c r="T881" s="97"/>
      <c r="U881" s="97"/>
      <c r="V881" s="97"/>
      <c r="W881" s="97"/>
      <c r="X881" s="97"/>
      <c r="Y881" s="97"/>
      <c r="Z881" s="97"/>
    </row>
    <row r="882" spans="1:26" ht="15" hidden="1">
      <c r="A882" s="97"/>
      <c r="B882" s="97"/>
      <c r="C882" s="97"/>
      <c r="D882" s="97"/>
      <c r="E882" s="97"/>
      <c r="F882" s="97"/>
      <c r="G882" s="97"/>
      <c r="H882" s="97"/>
      <c r="I882" s="97"/>
      <c r="J882" s="97"/>
      <c r="K882" s="97"/>
      <c r="L882" s="97"/>
      <c r="M882" s="97"/>
      <c r="N882" s="97"/>
      <c r="O882" s="97"/>
      <c r="P882" s="97"/>
      <c r="Q882" s="97"/>
      <c r="R882" s="97"/>
      <c r="S882" s="97"/>
      <c r="T882" s="97"/>
      <c r="U882" s="97"/>
      <c r="V882" s="97"/>
      <c r="W882" s="97"/>
      <c r="X882" s="97"/>
      <c r="Y882" s="97"/>
      <c r="Z882" s="97"/>
    </row>
    <row r="883" spans="1:26" ht="15" hidden="1">
      <c r="A883" s="97"/>
      <c r="B883" s="97"/>
      <c r="C883" s="97"/>
      <c r="D883" s="97"/>
      <c r="E883" s="97"/>
      <c r="F883" s="97"/>
      <c r="G883" s="97"/>
      <c r="H883" s="97"/>
      <c r="I883" s="97"/>
      <c r="J883" s="97"/>
      <c r="K883" s="97"/>
      <c r="L883" s="97"/>
      <c r="M883" s="97"/>
      <c r="N883" s="97"/>
      <c r="O883" s="97"/>
      <c r="P883" s="97"/>
      <c r="Q883" s="97"/>
      <c r="R883" s="97"/>
      <c r="S883" s="97"/>
      <c r="T883" s="97"/>
      <c r="U883" s="97"/>
      <c r="V883" s="97"/>
      <c r="W883" s="97"/>
      <c r="X883" s="97"/>
      <c r="Y883" s="97"/>
      <c r="Z883" s="97"/>
    </row>
    <row r="884" spans="1:26" ht="15" hidden="1">
      <c r="A884" s="97"/>
      <c r="B884" s="97"/>
      <c r="C884" s="97"/>
      <c r="D884" s="97"/>
      <c r="E884" s="97"/>
      <c r="F884" s="97"/>
      <c r="G884" s="97"/>
      <c r="H884" s="97"/>
      <c r="I884" s="97"/>
      <c r="J884" s="97"/>
      <c r="K884" s="97"/>
      <c r="L884" s="97"/>
      <c r="M884" s="97"/>
      <c r="N884" s="97"/>
      <c r="O884" s="97"/>
      <c r="P884" s="97"/>
      <c r="Q884" s="97"/>
      <c r="R884" s="97"/>
      <c r="S884" s="97"/>
      <c r="T884" s="97"/>
      <c r="U884" s="97"/>
      <c r="V884" s="97"/>
      <c r="W884" s="97"/>
      <c r="X884" s="97"/>
      <c r="Y884" s="97"/>
      <c r="Z884" s="97"/>
    </row>
    <row r="885" spans="1:26" ht="15" hidden="1">
      <c r="A885" s="97"/>
      <c r="B885" s="97"/>
      <c r="C885" s="97"/>
      <c r="D885" s="97"/>
      <c r="E885" s="97"/>
      <c r="F885" s="97"/>
      <c r="G885" s="97"/>
      <c r="H885" s="97"/>
      <c r="I885" s="97"/>
      <c r="J885" s="97"/>
      <c r="K885" s="97"/>
      <c r="L885" s="97"/>
      <c r="M885" s="97"/>
      <c r="N885" s="97"/>
      <c r="O885" s="97"/>
      <c r="P885" s="97"/>
      <c r="Q885" s="97"/>
      <c r="R885" s="97"/>
      <c r="S885" s="97"/>
      <c r="T885" s="97"/>
      <c r="U885" s="97"/>
      <c r="V885" s="97"/>
      <c r="W885" s="97"/>
      <c r="X885" s="97"/>
      <c r="Y885" s="97"/>
      <c r="Z885" s="97"/>
    </row>
    <row r="886" spans="1:26" ht="15" hidden="1">
      <c r="A886" s="97"/>
      <c r="B886" s="97"/>
      <c r="C886" s="97"/>
      <c r="D886" s="97"/>
      <c r="E886" s="97"/>
      <c r="F886" s="97"/>
      <c r="G886" s="97"/>
      <c r="H886" s="97"/>
      <c r="I886" s="97"/>
      <c r="J886" s="97"/>
      <c r="K886" s="97"/>
      <c r="L886" s="97"/>
      <c r="M886" s="97"/>
      <c r="N886" s="97"/>
      <c r="O886" s="97"/>
      <c r="P886" s="97"/>
      <c r="Q886" s="97"/>
      <c r="R886" s="97"/>
      <c r="S886" s="97"/>
      <c r="T886" s="97"/>
      <c r="U886" s="97"/>
      <c r="V886" s="97"/>
      <c r="W886" s="97"/>
      <c r="X886" s="97"/>
      <c r="Y886" s="97"/>
      <c r="Z886" s="97"/>
    </row>
    <row r="887" spans="1:26" ht="15" hidden="1">
      <c r="A887" s="97"/>
      <c r="B887" s="97"/>
      <c r="C887" s="97"/>
      <c r="D887" s="97"/>
      <c r="E887" s="97"/>
      <c r="F887" s="97"/>
      <c r="G887" s="97"/>
      <c r="H887" s="97"/>
      <c r="I887" s="97"/>
      <c r="J887" s="97"/>
      <c r="K887" s="97"/>
      <c r="L887" s="97"/>
      <c r="M887" s="97"/>
      <c r="N887" s="97"/>
      <c r="O887" s="97"/>
      <c r="P887" s="97"/>
      <c r="Q887" s="97"/>
      <c r="R887" s="97"/>
      <c r="S887" s="97"/>
      <c r="T887" s="97"/>
      <c r="U887" s="97"/>
      <c r="V887" s="97"/>
      <c r="W887" s="97"/>
      <c r="X887" s="97"/>
      <c r="Y887" s="97"/>
      <c r="Z887" s="97"/>
    </row>
    <row r="888" spans="1:26" ht="15" hidden="1">
      <c r="A888" s="97"/>
      <c r="B888" s="97"/>
      <c r="C888" s="97"/>
      <c r="D888" s="97"/>
      <c r="E888" s="97"/>
      <c r="F888" s="97"/>
      <c r="G888" s="97"/>
      <c r="H888" s="97"/>
      <c r="I888" s="97"/>
      <c r="J888" s="97"/>
      <c r="K888" s="97"/>
      <c r="L888" s="97"/>
      <c r="M888" s="97"/>
      <c r="N888" s="97"/>
      <c r="O888" s="97"/>
      <c r="P888" s="97"/>
      <c r="Q888" s="97"/>
      <c r="R888" s="97"/>
      <c r="S888" s="97"/>
      <c r="T888" s="97"/>
      <c r="U888" s="97"/>
      <c r="V888" s="97"/>
      <c r="W888" s="97"/>
      <c r="X888" s="97"/>
      <c r="Y888" s="97"/>
      <c r="Z888" s="97"/>
    </row>
    <row r="889" spans="1:26" ht="15" hidden="1">
      <c r="A889" s="97"/>
      <c r="B889" s="97"/>
      <c r="C889" s="97"/>
      <c r="D889" s="97"/>
      <c r="E889" s="97"/>
      <c r="F889" s="97"/>
      <c r="G889" s="97"/>
      <c r="H889" s="97"/>
      <c r="I889" s="97"/>
      <c r="J889" s="97"/>
      <c r="K889" s="97"/>
      <c r="L889" s="97"/>
      <c r="M889" s="97"/>
      <c r="N889" s="97"/>
      <c r="O889" s="97"/>
      <c r="P889" s="97"/>
      <c r="Q889" s="97"/>
      <c r="R889" s="97"/>
      <c r="S889" s="97"/>
      <c r="T889" s="97"/>
      <c r="U889" s="97"/>
      <c r="V889" s="97"/>
      <c r="W889" s="97"/>
      <c r="X889" s="97"/>
      <c r="Y889" s="97"/>
      <c r="Z889" s="97"/>
    </row>
    <row r="890" spans="1:26" ht="15" hidden="1">
      <c r="A890" s="97"/>
      <c r="B890" s="97"/>
      <c r="C890" s="97"/>
      <c r="D890" s="97"/>
      <c r="E890" s="97"/>
      <c r="F890" s="97"/>
      <c r="G890" s="97"/>
      <c r="H890" s="97"/>
      <c r="I890" s="97"/>
      <c r="J890" s="97"/>
      <c r="K890" s="97"/>
      <c r="L890" s="97"/>
      <c r="M890" s="97"/>
      <c r="N890" s="97"/>
      <c r="O890" s="97"/>
      <c r="P890" s="97"/>
      <c r="Q890" s="97"/>
      <c r="R890" s="97"/>
      <c r="S890" s="97"/>
      <c r="T890" s="97"/>
      <c r="U890" s="97"/>
      <c r="V890" s="97"/>
      <c r="W890" s="97"/>
      <c r="X890" s="97"/>
      <c r="Y890" s="97"/>
      <c r="Z890" s="97"/>
    </row>
    <row r="891" spans="1:26" ht="15" hidden="1">
      <c r="A891" s="97"/>
      <c r="B891" s="97"/>
      <c r="C891" s="97"/>
      <c r="D891" s="97"/>
      <c r="E891" s="97"/>
      <c r="F891" s="97"/>
      <c r="G891" s="97"/>
      <c r="H891" s="97"/>
      <c r="I891" s="97"/>
      <c r="J891" s="97"/>
      <c r="K891" s="97"/>
      <c r="L891" s="97"/>
      <c r="M891" s="97"/>
      <c r="N891" s="97"/>
      <c r="O891" s="97"/>
      <c r="P891" s="97"/>
      <c r="Q891" s="97"/>
      <c r="R891" s="97"/>
      <c r="S891" s="97"/>
      <c r="T891" s="97"/>
      <c r="U891" s="97"/>
      <c r="V891" s="97"/>
      <c r="W891" s="97"/>
      <c r="X891" s="97"/>
      <c r="Y891" s="97"/>
      <c r="Z891" s="97"/>
    </row>
    <row r="892" spans="1:26" ht="15" hidden="1">
      <c r="A892" s="97"/>
      <c r="B892" s="97"/>
      <c r="C892" s="97"/>
      <c r="D892" s="97"/>
      <c r="E892" s="97"/>
      <c r="F892" s="97"/>
      <c r="G892" s="97"/>
      <c r="H892" s="97"/>
      <c r="I892" s="97"/>
      <c r="J892" s="97"/>
      <c r="K892" s="97"/>
      <c r="L892" s="97"/>
      <c r="M892" s="97"/>
      <c r="N892" s="97"/>
      <c r="O892" s="97"/>
      <c r="P892" s="97"/>
      <c r="Q892" s="97"/>
      <c r="R892" s="97"/>
      <c r="S892" s="97"/>
      <c r="T892" s="97"/>
      <c r="U892" s="97"/>
      <c r="V892" s="97"/>
      <c r="W892" s="97"/>
      <c r="X892" s="97"/>
      <c r="Y892" s="97"/>
      <c r="Z892" s="97"/>
    </row>
    <row r="893" spans="1:26" ht="15" hidden="1">
      <c r="A893" s="97"/>
      <c r="B893" s="97"/>
      <c r="C893" s="97"/>
      <c r="D893" s="97"/>
      <c r="E893" s="97"/>
      <c r="F893" s="97"/>
      <c r="G893" s="97"/>
      <c r="H893" s="97"/>
      <c r="I893" s="97"/>
      <c r="J893" s="97"/>
      <c r="K893" s="97"/>
      <c r="L893" s="97"/>
      <c r="M893" s="97"/>
      <c r="N893" s="97"/>
      <c r="O893" s="97"/>
      <c r="P893" s="97"/>
      <c r="Q893" s="97"/>
      <c r="R893" s="97"/>
      <c r="S893" s="97"/>
      <c r="T893" s="97"/>
      <c r="U893" s="97"/>
      <c r="V893" s="97"/>
      <c r="W893" s="97"/>
      <c r="X893" s="97"/>
      <c r="Y893" s="97"/>
      <c r="Z893" s="97"/>
    </row>
    <row r="894" spans="1:26" ht="15" hidden="1">
      <c r="A894" s="97"/>
      <c r="B894" s="97"/>
      <c r="C894" s="97"/>
      <c r="D894" s="97"/>
      <c r="E894" s="97"/>
      <c r="F894" s="97"/>
      <c r="G894" s="97"/>
      <c r="H894" s="97"/>
      <c r="I894" s="97"/>
      <c r="J894" s="97"/>
      <c r="K894" s="97"/>
      <c r="L894" s="97"/>
      <c r="M894" s="97"/>
      <c r="N894" s="97"/>
      <c r="O894" s="97"/>
      <c r="P894" s="97"/>
      <c r="Q894" s="97"/>
      <c r="R894" s="97"/>
      <c r="S894" s="97"/>
      <c r="T894" s="97"/>
      <c r="U894" s="97"/>
      <c r="V894" s="97"/>
      <c r="W894" s="97"/>
      <c r="X894" s="97"/>
      <c r="Y894" s="97"/>
      <c r="Z894" s="97"/>
    </row>
    <row r="895" spans="1:26" ht="15" hidden="1">
      <c r="A895" s="97"/>
      <c r="B895" s="97"/>
      <c r="C895" s="97"/>
      <c r="D895" s="97"/>
      <c r="E895" s="97"/>
      <c r="F895" s="97"/>
      <c r="G895" s="97"/>
      <c r="H895" s="97"/>
      <c r="I895" s="97"/>
      <c r="J895" s="97"/>
      <c r="K895" s="97"/>
      <c r="L895" s="97"/>
      <c r="M895" s="97"/>
      <c r="N895" s="97"/>
      <c r="O895" s="97"/>
      <c r="P895" s="97"/>
      <c r="Q895" s="97"/>
      <c r="R895" s="97"/>
      <c r="S895" s="97"/>
      <c r="T895" s="97"/>
      <c r="U895" s="97"/>
      <c r="V895" s="97"/>
      <c r="W895" s="97"/>
      <c r="X895" s="97"/>
      <c r="Y895" s="97"/>
      <c r="Z895" s="97"/>
    </row>
    <row r="896" spans="1:26" ht="15" hidden="1">
      <c r="A896" s="97"/>
      <c r="B896" s="97"/>
      <c r="C896" s="97"/>
      <c r="D896" s="97"/>
      <c r="E896" s="97"/>
      <c r="F896" s="97"/>
      <c r="G896" s="97"/>
      <c r="H896" s="97"/>
      <c r="I896" s="97"/>
      <c r="J896" s="97"/>
      <c r="K896" s="97"/>
      <c r="L896" s="97"/>
      <c r="M896" s="97"/>
      <c r="N896" s="97"/>
      <c r="O896" s="97"/>
      <c r="P896" s="97"/>
      <c r="Q896" s="97"/>
      <c r="R896" s="97"/>
      <c r="S896" s="97"/>
      <c r="T896" s="97"/>
      <c r="U896" s="97"/>
      <c r="V896" s="97"/>
      <c r="W896" s="97"/>
      <c r="X896" s="97"/>
      <c r="Y896" s="97"/>
      <c r="Z896" s="97"/>
    </row>
    <row r="897" spans="1:26" ht="15" hidden="1">
      <c r="A897" s="97"/>
      <c r="B897" s="97"/>
      <c r="C897" s="97"/>
      <c r="D897" s="97"/>
      <c r="E897" s="97"/>
      <c r="F897" s="97"/>
      <c r="G897" s="97"/>
      <c r="H897" s="97"/>
      <c r="I897" s="97"/>
      <c r="J897" s="97"/>
      <c r="K897" s="97"/>
      <c r="L897" s="97"/>
      <c r="M897" s="97"/>
      <c r="N897" s="97"/>
      <c r="O897" s="97"/>
      <c r="P897" s="97"/>
      <c r="Q897" s="97"/>
      <c r="R897" s="97"/>
      <c r="S897" s="97"/>
      <c r="T897" s="97"/>
      <c r="U897" s="97"/>
      <c r="V897" s="97"/>
      <c r="W897" s="97"/>
      <c r="X897" s="97"/>
      <c r="Y897" s="97"/>
      <c r="Z897" s="97"/>
    </row>
    <row r="898" spans="1:26" ht="15" hidden="1">
      <c r="A898" s="97"/>
      <c r="B898" s="97"/>
      <c r="C898" s="97"/>
      <c r="D898" s="97"/>
      <c r="E898" s="97"/>
      <c r="F898" s="97"/>
      <c r="G898" s="97"/>
      <c r="H898" s="97"/>
      <c r="I898" s="97"/>
      <c r="J898" s="97"/>
      <c r="K898" s="97"/>
      <c r="L898" s="97"/>
      <c r="M898" s="97"/>
      <c r="N898" s="97"/>
      <c r="O898" s="97"/>
      <c r="P898" s="97"/>
      <c r="Q898" s="97"/>
      <c r="R898" s="97"/>
      <c r="S898" s="97"/>
      <c r="T898" s="97"/>
      <c r="U898" s="97"/>
      <c r="V898" s="97"/>
      <c r="W898" s="97"/>
      <c r="X898" s="97"/>
      <c r="Y898" s="97"/>
      <c r="Z898" s="97"/>
    </row>
    <row r="899" spans="1:26" ht="15" hidden="1">
      <c r="A899" s="97"/>
      <c r="B899" s="97"/>
      <c r="C899" s="97"/>
      <c r="D899" s="97"/>
      <c r="E899" s="97"/>
      <c r="F899" s="97"/>
      <c r="G899" s="97"/>
      <c r="H899" s="97"/>
      <c r="I899" s="97"/>
      <c r="J899" s="97"/>
      <c r="K899" s="97"/>
      <c r="L899" s="97"/>
      <c r="M899" s="97"/>
      <c r="N899" s="97"/>
      <c r="O899" s="97"/>
      <c r="P899" s="97"/>
      <c r="Q899" s="97"/>
      <c r="R899" s="97"/>
      <c r="S899" s="97"/>
      <c r="T899" s="97"/>
      <c r="U899" s="97"/>
      <c r="V899" s="97"/>
      <c r="W899" s="97"/>
      <c r="X899" s="97"/>
      <c r="Y899" s="97"/>
      <c r="Z899" s="97"/>
    </row>
    <row r="900" spans="1:26" ht="15" hidden="1">
      <c r="A900" s="97"/>
      <c r="B900" s="97"/>
      <c r="C900" s="97"/>
      <c r="D900" s="97"/>
      <c r="E900" s="97"/>
      <c r="F900" s="97"/>
      <c r="G900" s="97"/>
      <c r="H900" s="97"/>
      <c r="I900" s="97"/>
      <c r="J900" s="97"/>
      <c r="K900" s="97"/>
      <c r="L900" s="97"/>
      <c r="M900" s="97"/>
      <c r="N900" s="97"/>
      <c r="O900" s="97"/>
      <c r="P900" s="97"/>
      <c r="Q900" s="97"/>
      <c r="R900" s="97"/>
      <c r="S900" s="97"/>
      <c r="T900" s="97"/>
      <c r="U900" s="97"/>
      <c r="V900" s="97"/>
      <c r="W900" s="97"/>
      <c r="X900" s="97"/>
      <c r="Y900" s="97"/>
      <c r="Z900" s="97"/>
    </row>
    <row r="901" spans="1:26" ht="15" hidden="1">
      <c r="A901" s="97"/>
      <c r="B901" s="97"/>
      <c r="C901" s="97"/>
      <c r="D901" s="97"/>
      <c r="E901" s="97"/>
      <c r="F901" s="97"/>
      <c r="G901" s="97"/>
      <c r="H901" s="97"/>
      <c r="I901" s="97"/>
      <c r="J901" s="97"/>
      <c r="K901" s="97"/>
      <c r="L901" s="97"/>
      <c r="M901" s="97"/>
      <c r="N901" s="97"/>
      <c r="O901" s="97"/>
      <c r="P901" s="97"/>
      <c r="Q901" s="97"/>
      <c r="R901" s="97"/>
      <c r="S901" s="97"/>
      <c r="T901" s="97"/>
      <c r="U901" s="97"/>
      <c r="V901" s="97"/>
      <c r="W901" s="97"/>
      <c r="X901" s="97"/>
      <c r="Y901" s="97"/>
      <c r="Z901" s="97"/>
    </row>
    <row r="902" spans="1:26" ht="15" hidden="1">
      <c r="A902" s="97"/>
      <c r="B902" s="97"/>
      <c r="C902" s="97"/>
      <c r="D902" s="97"/>
      <c r="E902" s="97"/>
      <c r="F902" s="97"/>
      <c r="G902" s="97"/>
      <c r="H902" s="97"/>
      <c r="I902" s="97"/>
      <c r="J902" s="97"/>
      <c r="K902" s="97"/>
      <c r="L902" s="97"/>
      <c r="M902" s="97"/>
      <c r="N902" s="97"/>
      <c r="O902" s="97"/>
      <c r="P902" s="97"/>
      <c r="Q902" s="97"/>
      <c r="R902" s="97"/>
      <c r="S902" s="97"/>
      <c r="T902" s="97"/>
      <c r="U902" s="97"/>
      <c r="V902" s="97"/>
      <c r="W902" s="97"/>
      <c r="X902" s="97"/>
      <c r="Y902" s="97"/>
      <c r="Z902" s="97"/>
    </row>
    <row r="903" spans="1:26" ht="15" hidden="1">
      <c r="A903" s="97"/>
      <c r="B903" s="97"/>
      <c r="C903" s="97"/>
      <c r="D903" s="97"/>
      <c r="E903" s="97"/>
      <c r="F903" s="97"/>
      <c r="G903" s="97"/>
      <c r="H903" s="97"/>
      <c r="I903" s="97"/>
      <c r="J903" s="97"/>
      <c r="K903" s="97"/>
      <c r="L903" s="97"/>
      <c r="M903" s="97"/>
      <c r="N903" s="97"/>
      <c r="O903" s="97"/>
      <c r="P903" s="97"/>
      <c r="Q903" s="97"/>
      <c r="R903" s="97"/>
      <c r="S903" s="97"/>
      <c r="T903" s="97"/>
      <c r="U903" s="97"/>
      <c r="V903" s="97"/>
      <c r="W903" s="97"/>
      <c r="X903" s="97"/>
      <c r="Y903" s="97"/>
      <c r="Z903" s="97"/>
    </row>
    <row r="904" spans="1:26" ht="15" hidden="1">
      <c r="A904" s="97"/>
      <c r="B904" s="97"/>
      <c r="C904" s="97"/>
      <c r="D904" s="97"/>
      <c r="E904" s="97"/>
      <c r="F904" s="97"/>
      <c r="G904" s="97"/>
      <c r="H904" s="97"/>
      <c r="I904" s="97"/>
      <c r="J904" s="97"/>
      <c r="K904" s="97"/>
      <c r="L904" s="97"/>
      <c r="M904" s="97"/>
      <c r="N904" s="97"/>
      <c r="O904" s="97"/>
      <c r="P904" s="97"/>
      <c r="Q904" s="97"/>
      <c r="R904" s="97"/>
      <c r="S904" s="97"/>
      <c r="T904" s="97"/>
      <c r="U904" s="97"/>
      <c r="V904" s="97"/>
      <c r="W904" s="97"/>
      <c r="X904" s="97"/>
      <c r="Y904" s="97"/>
      <c r="Z904" s="97"/>
    </row>
    <row r="905" spans="1:26" ht="15" hidden="1">
      <c r="A905" s="97"/>
      <c r="B905" s="97"/>
      <c r="C905" s="97"/>
      <c r="D905" s="97"/>
      <c r="E905" s="97"/>
      <c r="F905" s="97"/>
      <c r="G905" s="97"/>
      <c r="H905" s="97"/>
      <c r="I905" s="97"/>
      <c r="J905" s="97"/>
      <c r="K905" s="97"/>
      <c r="L905" s="97"/>
      <c r="M905" s="97"/>
      <c r="N905" s="97"/>
      <c r="O905" s="97"/>
      <c r="P905" s="97"/>
      <c r="Q905" s="97"/>
      <c r="R905" s="97"/>
      <c r="S905" s="97"/>
      <c r="T905" s="97"/>
      <c r="U905" s="97"/>
      <c r="V905" s="97"/>
      <c r="W905" s="97"/>
      <c r="X905" s="97"/>
      <c r="Y905" s="97"/>
      <c r="Z905" s="97"/>
    </row>
    <row r="906" spans="1:26" ht="15" hidden="1">
      <c r="A906" s="97"/>
      <c r="B906" s="97"/>
      <c r="C906" s="97"/>
      <c r="D906" s="97"/>
      <c r="E906" s="97"/>
      <c r="F906" s="97"/>
      <c r="G906" s="97"/>
      <c r="H906" s="97"/>
      <c r="I906" s="97"/>
      <c r="J906" s="97"/>
      <c r="K906" s="97"/>
      <c r="L906" s="97"/>
      <c r="M906" s="97"/>
      <c r="N906" s="97"/>
      <c r="O906" s="97"/>
      <c r="P906" s="97"/>
      <c r="Q906" s="97"/>
      <c r="R906" s="97"/>
      <c r="S906" s="97"/>
      <c r="T906" s="97"/>
      <c r="U906" s="97"/>
      <c r="V906" s="97"/>
      <c r="W906" s="97"/>
      <c r="X906" s="97"/>
      <c r="Y906" s="97"/>
      <c r="Z906" s="97"/>
    </row>
    <row r="907" spans="1:26" ht="15" hidden="1">
      <c r="A907" s="97"/>
      <c r="B907" s="97"/>
      <c r="C907" s="97"/>
      <c r="D907" s="97"/>
      <c r="E907" s="97"/>
      <c r="F907" s="97"/>
      <c r="G907" s="97"/>
      <c r="H907" s="97"/>
      <c r="I907" s="97"/>
      <c r="J907" s="97"/>
      <c r="K907" s="97"/>
      <c r="L907" s="97"/>
      <c r="M907" s="97"/>
      <c r="N907" s="97"/>
      <c r="O907" s="97"/>
      <c r="P907" s="97"/>
      <c r="Q907" s="97"/>
      <c r="R907" s="97"/>
      <c r="S907" s="97"/>
      <c r="T907" s="97"/>
      <c r="U907" s="97"/>
      <c r="V907" s="97"/>
      <c r="W907" s="97"/>
      <c r="X907" s="97"/>
      <c r="Y907" s="97"/>
      <c r="Z907" s="97"/>
    </row>
    <row r="908" spans="1:26" ht="15" hidden="1">
      <c r="A908" s="97"/>
      <c r="B908" s="97"/>
      <c r="C908" s="97"/>
      <c r="D908" s="97"/>
      <c r="E908" s="97"/>
      <c r="F908" s="97"/>
      <c r="G908" s="97"/>
      <c r="H908" s="97"/>
      <c r="I908" s="97"/>
      <c r="J908" s="97"/>
      <c r="K908" s="97"/>
      <c r="L908" s="97"/>
      <c r="M908" s="97"/>
      <c r="N908" s="97"/>
      <c r="O908" s="97"/>
      <c r="P908" s="97"/>
      <c r="Q908" s="97"/>
      <c r="R908" s="97"/>
      <c r="S908" s="97"/>
      <c r="T908" s="97"/>
      <c r="U908" s="97"/>
      <c r="V908" s="97"/>
      <c r="W908" s="97"/>
      <c r="X908" s="97"/>
      <c r="Y908" s="97"/>
      <c r="Z908" s="97"/>
    </row>
    <row r="909" spans="1:26" ht="15" hidden="1">
      <c r="A909" s="97"/>
      <c r="B909" s="97"/>
      <c r="C909" s="97"/>
      <c r="D909" s="97"/>
      <c r="E909" s="97"/>
      <c r="F909" s="97"/>
      <c r="G909" s="97"/>
      <c r="H909" s="97"/>
      <c r="I909" s="97"/>
      <c r="J909" s="97"/>
      <c r="K909" s="97"/>
      <c r="L909" s="97"/>
      <c r="M909" s="97"/>
      <c r="N909" s="97"/>
      <c r="O909" s="97"/>
      <c r="P909" s="97"/>
      <c r="Q909" s="97"/>
      <c r="R909" s="97"/>
      <c r="S909" s="97"/>
      <c r="T909" s="97"/>
      <c r="U909" s="97"/>
      <c r="V909" s="97"/>
      <c r="W909" s="97"/>
      <c r="X909" s="97"/>
      <c r="Y909" s="97"/>
      <c r="Z909" s="97"/>
    </row>
    <row r="910" spans="1:26" ht="15" hidden="1">
      <c r="A910" s="97"/>
      <c r="B910" s="97"/>
      <c r="C910" s="97"/>
      <c r="D910" s="97"/>
      <c r="E910" s="97"/>
      <c r="F910" s="97"/>
      <c r="G910" s="97"/>
      <c r="H910" s="97"/>
      <c r="I910" s="97"/>
      <c r="J910" s="97"/>
      <c r="K910" s="97"/>
      <c r="L910" s="97"/>
      <c r="M910" s="97"/>
      <c r="N910" s="97"/>
      <c r="O910" s="97"/>
      <c r="P910" s="97"/>
      <c r="Q910" s="97"/>
      <c r="R910" s="97"/>
      <c r="S910" s="97"/>
      <c r="T910" s="97"/>
      <c r="U910" s="97"/>
      <c r="V910" s="97"/>
      <c r="W910" s="97"/>
      <c r="X910" s="97"/>
      <c r="Y910" s="97"/>
      <c r="Z910" s="97"/>
    </row>
    <row r="911" spans="1:26" ht="15" hidden="1">
      <c r="A911" s="97"/>
      <c r="B911" s="97"/>
      <c r="C911" s="97"/>
      <c r="D911" s="97"/>
      <c r="E911" s="97"/>
      <c r="F911" s="97"/>
      <c r="G911" s="97"/>
      <c r="H911" s="97"/>
      <c r="I911" s="97"/>
      <c r="J911" s="97"/>
      <c r="K911" s="97"/>
      <c r="L911" s="97"/>
      <c r="M911" s="97"/>
      <c r="N911" s="97"/>
      <c r="O911" s="97"/>
      <c r="P911" s="97"/>
      <c r="Q911" s="97"/>
      <c r="R911" s="97"/>
      <c r="S911" s="97"/>
      <c r="T911" s="97"/>
      <c r="U911" s="97"/>
      <c r="V911" s="97"/>
      <c r="W911" s="97"/>
      <c r="X911" s="97"/>
      <c r="Y911" s="97"/>
      <c r="Z911" s="97"/>
    </row>
    <row r="912" spans="1:26" ht="15" hidden="1">
      <c r="A912" s="97"/>
      <c r="B912" s="97"/>
      <c r="C912" s="97"/>
      <c r="D912" s="97"/>
      <c r="E912" s="97"/>
      <c r="F912" s="97"/>
      <c r="G912" s="97"/>
      <c r="H912" s="97"/>
      <c r="I912" s="97"/>
      <c r="J912" s="97"/>
      <c r="K912" s="97"/>
      <c r="L912" s="97"/>
      <c r="M912" s="97"/>
      <c r="N912" s="97"/>
      <c r="O912" s="97"/>
      <c r="P912" s="97"/>
      <c r="Q912" s="97"/>
      <c r="R912" s="97"/>
      <c r="S912" s="97"/>
      <c r="T912" s="97"/>
      <c r="U912" s="97"/>
      <c r="V912" s="97"/>
      <c r="W912" s="97"/>
      <c r="X912" s="97"/>
      <c r="Y912" s="97"/>
      <c r="Z912" s="97"/>
    </row>
    <row r="913" spans="1:26" ht="15" hidden="1">
      <c r="A913" s="97"/>
      <c r="B913" s="97"/>
      <c r="C913" s="97"/>
      <c r="D913" s="97"/>
      <c r="E913" s="97"/>
      <c r="F913" s="97"/>
      <c r="G913" s="97"/>
      <c r="H913" s="97"/>
      <c r="I913" s="97"/>
      <c r="J913" s="97"/>
      <c r="K913" s="97"/>
      <c r="L913" s="97"/>
      <c r="M913" s="97"/>
      <c r="N913" s="97"/>
      <c r="O913" s="97"/>
      <c r="P913" s="97"/>
      <c r="Q913" s="97"/>
      <c r="R913" s="97"/>
      <c r="S913" s="97"/>
      <c r="T913" s="97"/>
      <c r="U913" s="97"/>
      <c r="V913" s="97"/>
      <c r="W913" s="97"/>
      <c r="X913" s="97"/>
      <c r="Y913" s="97"/>
      <c r="Z913" s="97"/>
    </row>
    <row r="914" spans="1:26" ht="15" hidden="1">
      <c r="A914" s="97"/>
      <c r="B914" s="97"/>
      <c r="C914" s="97"/>
      <c r="D914" s="97"/>
      <c r="E914" s="97"/>
      <c r="F914" s="97"/>
      <c r="G914" s="97"/>
      <c r="H914" s="97"/>
      <c r="I914" s="97"/>
      <c r="J914" s="97"/>
      <c r="K914" s="97"/>
      <c r="L914" s="97"/>
      <c r="M914" s="97"/>
      <c r="N914" s="97"/>
      <c r="O914" s="97"/>
      <c r="P914" s="97"/>
      <c r="Q914" s="97"/>
      <c r="R914" s="97"/>
      <c r="S914" s="97"/>
      <c r="T914" s="97"/>
      <c r="U914" s="97"/>
      <c r="V914" s="97"/>
      <c r="W914" s="97"/>
      <c r="X914" s="97"/>
      <c r="Y914" s="97"/>
      <c r="Z914" s="97"/>
    </row>
    <row r="915" spans="1:26" ht="15" hidden="1">
      <c r="A915" s="97"/>
      <c r="B915" s="97"/>
      <c r="C915" s="97"/>
      <c r="D915" s="97"/>
      <c r="E915" s="97"/>
      <c r="F915" s="97"/>
      <c r="G915" s="97"/>
      <c r="H915" s="97"/>
      <c r="I915" s="97"/>
      <c r="J915" s="97"/>
      <c r="K915" s="97"/>
      <c r="L915" s="97"/>
      <c r="M915" s="97"/>
      <c r="N915" s="97"/>
      <c r="O915" s="97"/>
      <c r="P915" s="97"/>
      <c r="Q915" s="97"/>
      <c r="R915" s="97"/>
      <c r="S915" s="97"/>
      <c r="T915" s="97"/>
      <c r="U915" s="97"/>
      <c r="V915" s="97"/>
      <c r="W915" s="97"/>
      <c r="X915" s="97"/>
      <c r="Y915" s="97"/>
      <c r="Z915" s="97"/>
    </row>
    <row r="916" spans="1:26" ht="15" hidden="1">
      <c r="A916" s="97"/>
      <c r="B916" s="97"/>
      <c r="C916" s="97"/>
      <c r="D916" s="97"/>
      <c r="E916" s="97"/>
      <c r="F916" s="97"/>
      <c r="G916" s="97"/>
      <c r="H916" s="97"/>
      <c r="I916" s="97"/>
      <c r="J916" s="97"/>
      <c r="K916" s="97"/>
      <c r="L916" s="97"/>
      <c r="M916" s="97"/>
      <c r="N916" s="97"/>
      <c r="O916" s="97"/>
      <c r="P916" s="97"/>
      <c r="Q916" s="97"/>
      <c r="R916" s="97"/>
      <c r="S916" s="97"/>
      <c r="T916" s="97"/>
      <c r="U916" s="97"/>
      <c r="V916" s="97"/>
      <c r="W916" s="97"/>
      <c r="X916" s="97"/>
      <c r="Y916" s="97"/>
      <c r="Z916" s="97"/>
    </row>
    <row r="917" spans="1:26" ht="15" hidden="1">
      <c r="A917" s="97"/>
      <c r="B917" s="97"/>
      <c r="C917" s="97"/>
      <c r="D917" s="97"/>
      <c r="E917" s="97"/>
      <c r="F917" s="97"/>
      <c r="G917" s="97"/>
      <c r="H917" s="97"/>
      <c r="I917" s="97"/>
      <c r="J917" s="97"/>
      <c r="K917" s="97"/>
      <c r="L917" s="97"/>
      <c r="M917" s="97"/>
      <c r="N917" s="97"/>
      <c r="O917" s="97"/>
      <c r="P917" s="97"/>
      <c r="Q917" s="97"/>
      <c r="R917" s="97"/>
      <c r="S917" s="97"/>
      <c r="T917" s="97"/>
      <c r="U917" s="97"/>
      <c r="V917" s="97"/>
      <c r="W917" s="97"/>
      <c r="X917" s="97"/>
      <c r="Y917" s="97"/>
      <c r="Z917" s="97"/>
    </row>
    <row r="918" spans="1:26" ht="15" hidden="1">
      <c r="A918" s="97"/>
      <c r="B918" s="97"/>
      <c r="C918" s="97"/>
      <c r="D918" s="97"/>
      <c r="E918" s="97"/>
      <c r="F918" s="97"/>
      <c r="G918" s="97"/>
      <c r="H918" s="97"/>
      <c r="I918" s="97"/>
      <c r="J918" s="97"/>
      <c r="K918" s="97"/>
      <c r="L918" s="97"/>
      <c r="M918" s="97"/>
      <c r="N918" s="97"/>
      <c r="O918" s="97"/>
      <c r="P918" s="97"/>
      <c r="Q918" s="97"/>
      <c r="R918" s="97"/>
      <c r="S918" s="97"/>
      <c r="T918" s="97"/>
      <c r="U918" s="97"/>
      <c r="V918" s="97"/>
      <c r="W918" s="97"/>
      <c r="X918" s="97"/>
      <c r="Y918" s="97"/>
      <c r="Z918" s="97"/>
    </row>
    <row r="919" spans="1:26" ht="15" hidden="1">
      <c r="A919" s="97"/>
      <c r="B919" s="97"/>
      <c r="C919" s="97"/>
      <c r="D919" s="97"/>
      <c r="E919" s="97"/>
      <c r="F919" s="97"/>
      <c r="G919" s="97"/>
      <c r="H919" s="97"/>
      <c r="I919" s="97"/>
      <c r="J919" s="97"/>
      <c r="K919" s="97"/>
      <c r="L919" s="97"/>
      <c r="M919" s="97"/>
      <c r="N919" s="97"/>
      <c r="O919" s="97"/>
      <c r="P919" s="97"/>
      <c r="Q919" s="97"/>
      <c r="R919" s="97"/>
      <c r="S919" s="97"/>
      <c r="T919" s="97"/>
      <c r="U919" s="97"/>
      <c r="V919" s="97"/>
      <c r="W919" s="97"/>
      <c r="X919" s="97"/>
      <c r="Y919" s="97"/>
      <c r="Z919" s="97"/>
    </row>
    <row r="920" spans="1:26" ht="15" hidden="1">
      <c r="A920" s="97"/>
      <c r="B920" s="97"/>
      <c r="C920" s="97"/>
      <c r="D920" s="97"/>
      <c r="E920" s="97"/>
      <c r="F920" s="97"/>
      <c r="G920" s="97"/>
      <c r="H920" s="97"/>
      <c r="I920" s="97"/>
      <c r="J920" s="97"/>
      <c r="K920" s="97"/>
      <c r="L920" s="97"/>
      <c r="M920" s="97"/>
      <c r="N920" s="97"/>
      <c r="O920" s="97"/>
      <c r="P920" s="97"/>
      <c r="Q920" s="97"/>
      <c r="R920" s="97"/>
      <c r="S920" s="97"/>
      <c r="T920" s="97"/>
      <c r="U920" s="97"/>
      <c r="V920" s="97"/>
      <c r="W920" s="97"/>
      <c r="X920" s="97"/>
      <c r="Y920" s="97"/>
      <c r="Z920" s="97"/>
    </row>
    <row r="921" spans="1:26" ht="15" hidden="1">
      <c r="A921" s="97"/>
      <c r="B921" s="97"/>
      <c r="C921" s="97"/>
      <c r="D921" s="97"/>
      <c r="E921" s="97"/>
      <c r="F921" s="97"/>
      <c r="G921" s="97"/>
      <c r="H921" s="97"/>
      <c r="I921" s="97"/>
      <c r="J921" s="97"/>
      <c r="K921" s="97"/>
      <c r="L921" s="97"/>
      <c r="M921" s="97"/>
      <c r="N921" s="97"/>
      <c r="O921" s="97"/>
      <c r="P921" s="97"/>
      <c r="Q921" s="97"/>
      <c r="R921" s="97"/>
      <c r="S921" s="97"/>
      <c r="T921" s="97"/>
      <c r="U921" s="97"/>
      <c r="V921" s="97"/>
      <c r="W921" s="97"/>
      <c r="X921" s="97"/>
      <c r="Y921" s="97"/>
      <c r="Z921" s="97"/>
    </row>
    <row r="922" spans="1:26" ht="15" hidden="1">
      <c r="A922" s="97"/>
      <c r="B922" s="97"/>
      <c r="C922" s="97"/>
      <c r="D922" s="97"/>
      <c r="E922" s="97"/>
      <c r="F922" s="97"/>
      <c r="G922" s="97"/>
      <c r="H922" s="97"/>
      <c r="I922" s="97"/>
      <c r="J922" s="97"/>
      <c r="K922" s="97"/>
      <c r="L922" s="97"/>
      <c r="M922" s="97"/>
      <c r="N922" s="97"/>
      <c r="O922" s="97"/>
      <c r="P922" s="97"/>
      <c r="Q922" s="97"/>
      <c r="R922" s="97"/>
      <c r="S922" s="97"/>
      <c r="T922" s="97"/>
      <c r="U922" s="97"/>
      <c r="V922" s="97"/>
      <c r="W922" s="97"/>
      <c r="X922" s="97"/>
      <c r="Y922" s="97"/>
      <c r="Z922" s="97"/>
    </row>
    <row r="923" spans="1:26" ht="15" hidden="1">
      <c r="A923" s="97"/>
      <c r="B923" s="97"/>
      <c r="C923" s="97"/>
      <c r="D923" s="97"/>
      <c r="E923" s="97"/>
      <c r="F923" s="97"/>
      <c r="G923" s="97"/>
      <c r="H923" s="97"/>
      <c r="I923" s="97"/>
      <c r="J923" s="97"/>
      <c r="K923" s="97"/>
      <c r="L923" s="97"/>
      <c r="M923" s="97"/>
      <c r="N923" s="97"/>
      <c r="O923" s="97"/>
      <c r="P923" s="97"/>
      <c r="Q923" s="97"/>
      <c r="R923" s="97"/>
      <c r="S923" s="97"/>
      <c r="T923" s="97"/>
      <c r="U923" s="97"/>
      <c r="V923" s="97"/>
      <c r="W923" s="97"/>
      <c r="X923" s="97"/>
      <c r="Y923" s="97"/>
      <c r="Z923" s="97"/>
    </row>
    <row r="924" spans="1:26" ht="15" hidden="1">
      <c r="A924" s="97"/>
      <c r="B924" s="97"/>
      <c r="C924" s="97"/>
      <c r="D924" s="97"/>
      <c r="E924" s="97"/>
      <c r="F924" s="97"/>
      <c r="G924" s="97"/>
      <c r="H924" s="97"/>
      <c r="I924" s="97"/>
      <c r="J924" s="97"/>
      <c r="K924" s="97"/>
      <c r="L924" s="97"/>
      <c r="M924" s="97"/>
      <c r="N924" s="97"/>
      <c r="O924" s="97"/>
      <c r="P924" s="97"/>
      <c r="Q924" s="97"/>
      <c r="R924" s="97"/>
      <c r="S924" s="97"/>
      <c r="T924" s="97"/>
      <c r="U924" s="97"/>
      <c r="V924" s="97"/>
      <c r="W924" s="97"/>
      <c r="X924" s="97"/>
      <c r="Y924" s="97"/>
      <c r="Z924" s="97"/>
    </row>
    <row r="925" spans="1:26" ht="15" hidden="1">
      <c r="A925" s="97"/>
      <c r="B925" s="97"/>
      <c r="C925" s="97"/>
      <c r="D925" s="97"/>
      <c r="E925" s="97"/>
      <c r="F925" s="97"/>
      <c r="G925" s="97"/>
      <c r="H925" s="97"/>
      <c r="I925" s="97"/>
      <c r="J925" s="97"/>
      <c r="K925" s="97"/>
      <c r="L925" s="97"/>
      <c r="M925" s="97"/>
      <c r="N925" s="97"/>
      <c r="O925" s="97"/>
      <c r="P925" s="97"/>
      <c r="Q925" s="97"/>
      <c r="R925" s="97"/>
      <c r="S925" s="97"/>
      <c r="T925" s="97"/>
      <c r="U925" s="97"/>
      <c r="V925" s="97"/>
      <c r="W925" s="97"/>
      <c r="X925" s="97"/>
      <c r="Y925" s="97"/>
      <c r="Z925" s="97"/>
    </row>
    <row r="926" spans="1:26" ht="15" hidden="1">
      <c r="A926" s="97"/>
      <c r="B926" s="97"/>
      <c r="C926" s="97"/>
      <c r="D926" s="97"/>
      <c r="E926" s="97"/>
      <c r="F926" s="97"/>
      <c r="G926" s="97"/>
      <c r="H926" s="97"/>
      <c r="I926" s="97"/>
      <c r="J926" s="97"/>
      <c r="K926" s="97"/>
      <c r="L926" s="97"/>
      <c r="M926" s="97"/>
      <c r="N926" s="97"/>
      <c r="O926" s="97"/>
      <c r="P926" s="97"/>
      <c r="Q926" s="97"/>
      <c r="R926" s="97"/>
      <c r="S926" s="97"/>
      <c r="T926" s="97"/>
      <c r="U926" s="97"/>
      <c r="V926" s="97"/>
      <c r="W926" s="97"/>
      <c r="X926" s="97"/>
      <c r="Y926" s="97"/>
      <c r="Z926" s="97"/>
    </row>
    <row r="927" spans="1:26" ht="15" hidden="1">
      <c r="A927" s="97"/>
      <c r="B927" s="97"/>
      <c r="C927" s="97"/>
      <c r="D927" s="97"/>
      <c r="E927" s="97"/>
      <c r="F927" s="97"/>
      <c r="G927" s="97"/>
      <c r="H927" s="97"/>
      <c r="I927" s="97"/>
      <c r="J927" s="97"/>
      <c r="K927" s="97"/>
      <c r="L927" s="97"/>
      <c r="M927" s="97"/>
      <c r="N927" s="97"/>
      <c r="O927" s="97"/>
      <c r="P927" s="97"/>
      <c r="Q927" s="97"/>
      <c r="R927" s="97"/>
      <c r="S927" s="97"/>
      <c r="T927" s="97"/>
      <c r="U927" s="97"/>
      <c r="V927" s="97"/>
      <c r="W927" s="97"/>
      <c r="X927" s="97"/>
      <c r="Y927" s="97"/>
      <c r="Z927" s="97"/>
    </row>
    <row r="928" spans="1:26" ht="15" hidden="1">
      <c r="A928" s="97"/>
      <c r="B928" s="97"/>
      <c r="C928" s="97"/>
      <c r="D928" s="97"/>
      <c r="E928" s="97"/>
      <c r="F928" s="97"/>
      <c r="G928" s="97"/>
      <c r="H928" s="97"/>
      <c r="I928" s="97"/>
      <c r="J928" s="97"/>
      <c r="K928" s="97"/>
      <c r="L928" s="97"/>
      <c r="M928" s="97"/>
      <c r="N928" s="97"/>
      <c r="O928" s="97"/>
      <c r="P928" s="97"/>
      <c r="Q928" s="97"/>
      <c r="R928" s="97"/>
      <c r="S928" s="97"/>
      <c r="T928" s="97"/>
      <c r="U928" s="97"/>
      <c r="V928" s="97"/>
      <c r="W928" s="97"/>
      <c r="X928" s="97"/>
      <c r="Y928" s="97"/>
      <c r="Z928" s="97"/>
    </row>
    <row r="929" spans="1:26" ht="15" hidden="1">
      <c r="A929" s="97"/>
      <c r="B929" s="97"/>
      <c r="C929" s="97"/>
      <c r="D929" s="97"/>
      <c r="E929" s="97"/>
      <c r="F929" s="97"/>
      <c r="G929" s="97"/>
      <c r="H929" s="97"/>
      <c r="I929" s="97"/>
      <c r="J929" s="97"/>
      <c r="K929" s="97"/>
      <c r="L929" s="97"/>
      <c r="M929" s="97"/>
      <c r="N929" s="97"/>
      <c r="O929" s="97"/>
      <c r="P929" s="97"/>
      <c r="Q929" s="97"/>
      <c r="R929" s="97"/>
      <c r="S929" s="97"/>
      <c r="T929" s="97"/>
      <c r="U929" s="97"/>
      <c r="V929" s="97"/>
      <c r="W929" s="97"/>
      <c r="X929" s="97"/>
      <c r="Y929" s="97"/>
      <c r="Z929" s="97"/>
    </row>
    <row r="930" spans="1:26" ht="15" hidden="1">
      <c r="A930" s="97"/>
      <c r="B930" s="97"/>
      <c r="C930" s="97"/>
      <c r="D930" s="97"/>
      <c r="E930" s="97"/>
      <c r="F930" s="97"/>
      <c r="G930" s="97"/>
      <c r="H930" s="97"/>
      <c r="I930" s="97"/>
      <c r="J930" s="97"/>
      <c r="K930" s="97"/>
      <c r="L930" s="97"/>
      <c r="M930" s="97"/>
      <c r="N930" s="97"/>
      <c r="O930" s="97"/>
      <c r="P930" s="97"/>
      <c r="Q930" s="97"/>
      <c r="R930" s="97"/>
      <c r="S930" s="97"/>
      <c r="T930" s="97"/>
      <c r="U930" s="97"/>
      <c r="V930" s="97"/>
      <c r="W930" s="97"/>
      <c r="X930" s="97"/>
      <c r="Y930" s="97"/>
      <c r="Z930" s="97"/>
    </row>
    <row r="931" spans="1:26" ht="15" hidden="1">
      <c r="A931" s="97"/>
      <c r="B931" s="97"/>
      <c r="C931" s="97"/>
      <c r="D931" s="97"/>
      <c r="E931" s="97"/>
      <c r="F931" s="97"/>
      <c r="G931" s="97"/>
      <c r="H931" s="97"/>
      <c r="I931" s="97"/>
      <c r="J931" s="97"/>
      <c r="K931" s="97"/>
      <c r="L931" s="97"/>
      <c r="M931" s="97"/>
      <c r="N931" s="97"/>
      <c r="O931" s="97"/>
      <c r="P931" s="97"/>
      <c r="Q931" s="97"/>
      <c r="R931" s="97"/>
      <c r="S931" s="97"/>
      <c r="T931" s="97"/>
      <c r="U931" s="97"/>
      <c r="V931" s="97"/>
      <c r="W931" s="97"/>
      <c r="X931" s="97"/>
      <c r="Y931" s="97"/>
      <c r="Z931" s="97"/>
    </row>
    <row r="932" spans="1:26" ht="15" hidden="1">
      <c r="A932" s="97"/>
      <c r="B932" s="97"/>
      <c r="C932" s="97"/>
      <c r="D932" s="97"/>
      <c r="E932" s="97"/>
      <c r="F932" s="97"/>
      <c r="G932" s="97"/>
      <c r="H932" s="97"/>
      <c r="I932" s="97"/>
      <c r="J932" s="97"/>
      <c r="K932" s="97"/>
      <c r="L932" s="97"/>
      <c r="M932" s="97"/>
      <c r="N932" s="97"/>
      <c r="O932" s="97"/>
      <c r="P932" s="97"/>
      <c r="Q932" s="97"/>
      <c r="R932" s="97"/>
      <c r="S932" s="97"/>
      <c r="T932" s="97"/>
      <c r="U932" s="97"/>
      <c r="V932" s="97"/>
      <c r="W932" s="97"/>
      <c r="X932" s="97"/>
      <c r="Y932" s="97"/>
      <c r="Z932" s="97"/>
    </row>
    <row r="933" spans="1:26" ht="15" hidden="1">
      <c r="A933" s="97"/>
      <c r="B933" s="97"/>
      <c r="C933" s="97"/>
      <c r="D933" s="97"/>
      <c r="E933" s="97"/>
      <c r="F933" s="97"/>
      <c r="G933" s="97"/>
      <c r="H933" s="97"/>
      <c r="I933" s="97"/>
      <c r="J933" s="97"/>
      <c r="K933" s="97"/>
      <c r="L933" s="97"/>
      <c r="M933" s="97"/>
      <c r="N933" s="97"/>
      <c r="O933" s="97"/>
      <c r="P933" s="97"/>
      <c r="Q933" s="97"/>
      <c r="R933" s="97"/>
      <c r="S933" s="97"/>
      <c r="T933" s="97"/>
      <c r="U933" s="97"/>
      <c r="V933" s="97"/>
      <c r="W933" s="97"/>
      <c r="X933" s="97"/>
      <c r="Y933" s="97"/>
      <c r="Z933" s="97"/>
    </row>
    <row r="934" spans="1:26" ht="15" hidden="1">
      <c r="A934" s="97"/>
      <c r="B934" s="97"/>
      <c r="C934" s="97"/>
      <c r="D934" s="97"/>
      <c r="E934" s="97"/>
      <c r="F934" s="97"/>
      <c r="G934" s="97"/>
      <c r="H934" s="97"/>
      <c r="I934" s="97"/>
      <c r="J934" s="97"/>
      <c r="K934" s="97"/>
      <c r="L934" s="97"/>
      <c r="M934" s="97"/>
      <c r="N934" s="97"/>
      <c r="O934" s="97"/>
      <c r="P934" s="97"/>
      <c r="Q934" s="97"/>
      <c r="R934" s="97"/>
      <c r="S934" s="97"/>
      <c r="T934" s="97"/>
      <c r="U934" s="97"/>
      <c r="V934" s="97"/>
      <c r="W934" s="97"/>
      <c r="X934" s="97"/>
      <c r="Y934" s="97"/>
      <c r="Z934" s="97"/>
    </row>
    <row r="935" spans="1:26" ht="15" hidden="1">
      <c r="A935" s="97"/>
      <c r="B935" s="97"/>
      <c r="C935" s="97"/>
      <c r="D935" s="97"/>
      <c r="E935" s="97"/>
      <c r="F935" s="97"/>
      <c r="G935" s="97"/>
      <c r="H935" s="97"/>
      <c r="I935" s="97"/>
      <c r="J935" s="97"/>
      <c r="K935" s="97"/>
      <c r="L935" s="97"/>
      <c r="M935" s="97"/>
      <c r="N935" s="97"/>
      <c r="O935" s="97"/>
      <c r="P935" s="97"/>
      <c r="Q935" s="97"/>
      <c r="R935" s="97"/>
      <c r="S935" s="97"/>
      <c r="T935" s="97"/>
      <c r="U935" s="97"/>
      <c r="V935" s="97"/>
      <c r="W935" s="97"/>
      <c r="X935" s="97"/>
      <c r="Y935" s="97"/>
      <c r="Z935" s="97"/>
    </row>
    <row r="936" spans="1:26" ht="15" hidden="1">
      <c r="A936" s="97"/>
      <c r="B936" s="97"/>
      <c r="C936" s="97"/>
      <c r="D936" s="97"/>
      <c r="E936" s="97"/>
      <c r="F936" s="97"/>
      <c r="G936" s="97"/>
      <c r="H936" s="97"/>
      <c r="I936" s="97"/>
      <c r="J936" s="97"/>
      <c r="K936" s="97"/>
      <c r="L936" s="97"/>
      <c r="M936" s="97"/>
      <c r="N936" s="97"/>
      <c r="O936" s="97"/>
      <c r="P936" s="97"/>
      <c r="Q936" s="97"/>
      <c r="R936" s="97"/>
      <c r="S936" s="97"/>
      <c r="T936" s="97"/>
      <c r="U936" s="97"/>
      <c r="V936" s="97"/>
      <c r="W936" s="97"/>
      <c r="X936" s="97"/>
      <c r="Y936" s="97"/>
      <c r="Z936" s="97"/>
    </row>
    <row r="937" spans="1:26" ht="15" hidden="1">
      <c r="A937" s="97"/>
      <c r="B937" s="97"/>
      <c r="C937" s="97"/>
      <c r="D937" s="97"/>
      <c r="E937" s="97"/>
      <c r="F937" s="97"/>
      <c r="G937" s="97"/>
      <c r="H937" s="97"/>
      <c r="I937" s="97"/>
      <c r="J937" s="97"/>
      <c r="K937" s="97"/>
      <c r="L937" s="97"/>
      <c r="M937" s="97"/>
      <c r="N937" s="97"/>
      <c r="O937" s="97"/>
      <c r="P937" s="97"/>
      <c r="Q937" s="97"/>
      <c r="R937" s="97"/>
      <c r="S937" s="97"/>
      <c r="T937" s="97"/>
      <c r="U937" s="97"/>
      <c r="V937" s="97"/>
      <c r="W937" s="97"/>
      <c r="X937" s="97"/>
      <c r="Y937" s="97"/>
      <c r="Z937" s="97"/>
    </row>
    <row r="938" spans="1:26" ht="15" hidden="1">
      <c r="A938" s="97"/>
      <c r="B938" s="97"/>
      <c r="C938" s="97"/>
      <c r="D938" s="97"/>
      <c r="E938" s="97"/>
      <c r="F938" s="97"/>
      <c r="G938" s="97"/>
      <c r="H938" s="97"/>
      <c r="I938" s="97"/>
      <c r="J938" s="97"/>
      <c r="K938" s="97"/>
      <c r="L938" s="97"/>
      <c r="M938" s="97"/>
      <c r="N938" s="97"/>
      <c r="O938" s="97"/>
      <c r="P938" s="97"/>
      <c r="Q938" s="97"/>
      <c r="R938" s="97"/>
      <c r="S938" s="97"/>
      <c r="T938" s="97"/>
      <c r="U938" s="97"/>
      <c r="V938" s="97"/>
      <c r="W938" s="97"/>
      <c r="X938" s="97"/>
      <c r="Y938" s="97"/>
      <c r="Z938" s="97"/>
    </row>
    <row r="939" spans="1:26" ht="15" hidden="1">
      <c r="A939" s="97"/>
      <c r="B939" s="97"/>
      <c r="C939" s="97"/>
      <c r="D939" s="97"/>
      <c r="E939" s="97"/>
      <c r="F939" s="97"/>
      <c r="G939" s="97"/>
      <c r="H939" s="97"/>
      <c r="I939" s="97"/>
      <c r="J939" s="97"/>
      <c r="K939" s="97"/>
      <c r="L939" s="97"/>
      <c r="M939" s="97"/>
      <c r="N939" s="97"/>
      <c r="O939" s="97"/>
      <c r="P939" s="97"/>
      <c r="Q939" s="97"/>
      <c r="R939" s="97"/>
      <c r="S939" s="97"/>
      <c r="T939" s="97"/>
      <c r="U939" s="97"/>
      <c r="V939" s="97"/>
      <c r="W939" s="97"/>
      <c r="X939" s="97"/>
      <c r="Y939" s="97"/>
      <c r="Z939" s="97"/>
    </row>
    <row r="940" spans="1:26" ht="15" hidden="1">
      <c r="A940" s="97"/>
      <c r="B940" s="97"/>
      <c r="C940" s="97"/>
      <c r="D940" s="97"/>
      <c r="E940" s="97"/>
      <c r="F940" s="97"/>
      <c r="G940" s="97"/>
      <c r="H940" s="97"/>
      <c r="I940" s="97"/>
      <c r="J940" s="97"/>
      <c r="K940" s="97"/>
      <c r="L940" s="97"/>
      <c r="M940" s="97"/>
      <c r="N940" s="97"/>
      <c r="O940" s="97"/>
      <c r="P940" s="97"/>
      <c r="Q940" s="97"/>
      <c r="R940" s="97"/>
      <c r="S940" s="97"/>
      <c r="T940" s="97"/>
      <c r="U940" s="97"/>
      <c r="V940" s="97"/>
      <c r="W940" s="97"/>
      <c r="X940" s="97"/>
      <c r="Y940" s="97"/>
      <c r="Z940" s="97"/>
    </row>
    <row r="941" spans="1:26" ht="15" hidden="1">
      <c r="A941" s="97"/>
      <c r="B941" s="97"/>
      <c r="C941" s="97"/>
      <c r="D941" s="97"/>
      <c r="E941" s="97"/>
      <c r="F941" s="97"/>
      <c r="G941" s="97"/>
      <c r="H941" s="97"/>
      <c r="I941" s="97"/>
      <c r="J941" s="97"/>
      <c r="K941" s="97"/>
      <c r="L941" s="97"/>
      <c r="M941" s="97"/>
      <c r="N941" s="97"/>
      <c r="O941" s="97"/>
      <c r="P941" s="97"/>
      <c r="Q941" s="97"/>
      <c r="R941" s="97"/>
      <c r="S941" s="97"/>
      <c r="T941" s="97"/>
      <c r="U941" s="97"/>
      <c r="V941" s="97"/>
      <c r="W941" s="97"/>
      <c r="X941" s="97"/>
      <c r="Y941" s="97"/>
      <c r="Z941" s="97"/>
    </row>
    <row r="942" spans="1:26" ht="15" hidden="1">
      <c r="A942" s="97"/>
      <c r="B942" s="97"/>
      <c r="C942" s="97"/>
      <c r="D942" s="97"/>
      <c r="E942" s="97"/>
      <c r="F942" s="97"/>
      <c r="G942" s="97"/>
      <c r="H942" s="97"/>
      <c r="I942" s="97"/>
      <c r="J942" s="97"/>
      <c r="K942" s="97"/>
      <c r="L942" s="97"/>
      <c r="M942" s="97"/>
      <c r="N942" s="97"/>
      <c r="O942" s="97"/>
      <c r="P942" s="97"/>
      <c r="Q942" s="97"/>
      <c r="R942" s="97"/>
      <c r="S942" s="97"/>
      <c r="T942" s="97"/>
      <c r="U942" s="97"/>
      <c r="V942" s="97"/>
      <c r="W942" s="97"/>
      <c r="X942" s="97"/>
      <c r="Y942" s="97"/>
      <c r="Z942" s="97"/>
    </row>
    <row r="943" spans="1:26" ht="15" hidden="1">
      <c r="A943" s="97"/>
      <c r="B943" s="97"/>
      <c r="C943" s="97"/>
      <c r="D943" s="97"/>
      <c r="E943" s="97"/>
      <c r="F943" s="97"/>
      <c r="G943" s="97"/>
      <c r="H943" s="97"/>
      <c r="I943" s="97"/>
      <c r="J943" s="97"/>
      <c r="K943" s="97"/>
      <c r="L943" s="97"/>
      <c r="M943" s="97"/>
      <c r="N943" s="97"/>
      <c r="O943" s="97"/>
      <c r="P943" s="97"/>
      <c r="Q943" s="97"/>
      <c r="R943" s="97"/>
      <c r="S943" s="97"/>
      <c r="T943" s="97"/>
      <c r="U943" s="97"/>
      <c r="V943" s="97"/>
      <c r="W943" s="97"/>
      <c r="X943" s="97"/>
      <c r="Y943" s="97"/>
      <c r="Z943" s="97"/>
    </row>
    <row r="944" spans="1:26" ht="15" hidden="1">
      <c r="A944" s="97"/>
      <c r="B944" s="97"/>
      <c r="C944" s="97"/>
      <c r="D944" s="97"/>
      <c r="E944" s="97"/>
      <c r="F944" s="97"/>
      <c r="G944" s="97"/>
      <c r="H944" s="97"/>
      <c r="I944" s="97"/>
      <c r="J944" s="97"/>
      <c r="K944" s="97"/>
      <c r="L944" s="97"/>
      <c r="M944" s="97"/>
      <c r="N944" s="97"/>
      <c r="O944" s="97"/>
      <c r="P944" s="97"/>
      <c r="Q944" s="97"/>
      <c r="R944" s="97"/>
      <c r="S944" s="97"/>
      <c r="T944" s="97"/>
      <c r="U944" s="97"/>
      <c r="V944" s="97"/>
      <c r="W944" s="97"/>
      <c r="X944" s="97"/>
      <c r="Y944" s="97"/>
      <c r="Z944" s="97"/>
    </row>
    <row r="945" spans="1:26" ht="15" hidden="1">
      <c r="A945" s="97"/>
      <c r="B945" s="97"/>
      <c r="C945" s="97"/>
      <c r="D945" s="97"/>
      <c r="E945" s="97"/>
      <c r="F945" s="97"/>
      <c r="G945" s="97"/>
      <c r="H945" s="97"/>
      <c r="I945" s="97"/>
      <c r="J945" s="97"/>
      <c r="K945" s="97"/>
      <c r="L945" s="97"/>
      <c r="M945" s="97"/>
      <c r="N945" s="97"/>
      <c r="O945" s="97"/>
      <c r="P945" s="97"/>
      <c r="Q945" s="97"/>
      <c r="R945" s="97"/>
      <c r="S945" s="97"/>
      <c r="T945" s="97"/>
      <c r="U945" s="97"/>
      <c r="V945" s="97"/>
      <c r="W945" s="97"/>
      <c r="X945" s="97"/>
      <c r="Y945" s="97"/>
      <c r="Z945" s="97"/>
    </row>
    <row r="946" spans="1:26" ht="15" hidden="1">
      <c r="A946" s="97"/>
      <c r="B946" s="97"/>
      <c r="C946" s="97"/>
      <c r="D946" s="97"/>
      <c r="E946" s="97"/>
      <c r="F946" s="97"/>
      <c r="G946" s="97"/>
      <c r="H946" s="97"/>
      <c r="I946" s="97"/>
      <c r="J946" s="97"/>
      <c r="K946" s="97"/>
      <c r="L946" s="97"/>
      <c r="M946" s="97"/>
      <c r="N946" s="97"/>
      <c r="O946" s="97"/>
      <c r="P946" s="97"/>
      <c r="Q946" s="97"/>
      <c r="R946" s="97"/>
      <c r="S946" s="97"/>
      <c r="T946" s="97"/>
      <c r="U946" s="97"/>
      <c r="V946" s="97"/>
      <c r="W946" s="97"/>
      <c r="X946" s="97"/>
      <c r="Y946" s="97"/>
      <c r="Z946" s="97"/>
    </row>
    <row r="947" spans="1:26" ht="15" hidden="1">
      <c r="A947" s="97"/>
      <c r="B947" s="97"/>
      <c r="C947" s="97"/>
      <c r="D947" s="97"/>
      <c r="E947" s="97"/>
      <c r="F947" s="97"/>
      <c r="G947" s="97"/>
      <c r="H947" s="97"/>
      <c r="I947" s="97"/>
      <c r="J947" s="97"/>
      <c r="K947" s="97"/>
      <c r="L947" s="97"/>
      <c r="M947" s="97"/>
      <c r="N947" s="97"/>
      <c r="O947" s="97"/>
      <c r="P947" s="97"/>
      <c r="Q947" s="97"/>
      <c r="R947" s="97"/>
      <c r="S947" s="97"/>
      <c r="T947" s="97"/>
      <c r="U947" s="97"/>
      <c r="V947" s="97"/>
      <c r="W947" s="97"/>
      <c r="X947" s="97"/>
      <c r="Y947" s="97"/>
      <c r="Z947" s="97"/>
    </row>
    <row r="948" spans="1:26" ht="15" hidden="1">
      <c r="A948" s="97"/>
      <c r="B948" s="97"/>
      <c r="C948" s="97"/>
      <c r="D948" s="97"/>
      <c r="E948" s="97"/>
      <c r="F948" s="97"/>
      <c r="G948" s="97"/>
      <c r="H948" s="97"/>
      <c r="I948" s="97"/>
      <c r="J948" s="97"/>
      <c r="K948" s="97"/>
      <c r="L948" s="97"/>
      <c r="M948" s="97"/>
      <c r="N948" s="97"/>
      <c r="O948" s="97"/>
      <c r="P948" s="97"/>
      <c r="Q948" s="97"/>
      <c r="R948" s="97"/>
      <c r="S948" s="97"/>
      <c r="T948" s="97"/>
      <c r="U948" s="97"/>
      <c r="V948" s="97"/>
      <c r="W948" s="97"/>
      <c r="X948" s="97"/>
      <c r="Y948" s="97"/>
      <c r="Z948" s="97"/>
    </row>
    <row r="949" spans="1:26" ht="15" hidden="1">
      <c r="A949" s="97"/>
      <c r="B949" s="97"/>
      <c r="C949" s="97"/>
      <c r="D949" s="97"/>
      <c r="E949" s="97"/>
      <c r="F949" s="97"/>
      <c r="G949" s="97"/>
      <c r="H949" s="97"/>
      <c r="I949" s="97"/>
      <c r="J949" s="97"/>
      <c r="K949" s="97"/>
      <c r="L949" s="97"/>
      <c r="M949" s="97"/>
      <c r="N949" s="97"/>
      <c r="O949" s="97"/>
      <c r="P949" s="97"/>
      <c r="Q949" s="97"/>
      <c r="R949" s="97"/>
      <c r="S949" s="97"/>
      <c r="T949" s="97"/>
      <c r="U949" s="97"/>
      <c r="V949" s="97"/>
      <c r="W949" s="97"/>
      <c r="X949" s="97"/>
      <c r="Y949" s="97"/>
      <c r="Z949" s="97"/>
    </row>
    <row r="950" spans="1:26" ht="15" hidden="1">
      <c r="A950" s="97"/>
      <c r="B950" s="97"/>
      <c r="C950" s="97"/>
      <c r="D950" s="97"/>
      <c r="E950" s="97"/>
      <c r="F950" s="97"/>
      <c r="G950" s="97"/>
      <c r="H950" s="97"/>
      <c r="I950" s="97"/>
      <c r="J950" s="97"/>
      <c r="K950" s="97"/>
      <c r="L950" s="97"/>
      <c r="M950" s="97"/>
      <c r="N950" s="97"/>
      <c r="O950" s="97"/>
      <c r="P950" s="97"/>
      <c r="Q950" s="97"/>
      <c r="R950" s="97"/>
      <c r="S950" s="97"/>
      <c r="T950" s="97"/>
      <c r="U950" s="97"/>
      <c r="V950" s="97"/>
      <c r="W950" s="97"/>
      <c r="X950" s="97"/>
      <c r="Y950" s="97"/>
      <c r="Z950" s="97"/>
    </row>
    <row r="951" spans="1:26" ht="15" hidden="1">
      <c r="A951" s="97"/>
      <c r="B951" s="97"/>
      <c r="C951" s="97"/>
      <c r="D951" s="97"/>
      <c r="E951" s="97"/>
      <c r="F951" s="97"/>
      <c r="G951" s="97"/>
      <c r="H951" s="97"/>
      <c r="I951" s="97"/>
      <c r="J951" s="97"/>
      <c r="K951" s="97"/>
      <c r="L951" s="97"/>
      <c r="M951" s="97"/>
      <c r="N951" s="97"/>
      <c r="O951" s="97"/>
      <c r="P951" s="97"/>
      <c r="Q951" s="97"/>
      <c r="R951" s="97"/>
      <c r="S951" s="97"/>
      <c r="T951" s="97"/>
      <c r="U951" s="97"/>
      <c r="V951" s="97"/>
      <c r="W951" s="97"/>
      <c r="X951" s="97"/>
      <c r="Y951" s="97"/>
      <c r="Z951" s="97"/>
    </row>
    <row r="952" spans="1:26" ht="15" hidden="1">
      <c r="A952" s="97"/>
      <c r="B952" s="97"/>
      <c r="C952" s="97"/>
      <c r="D952" s="97"/>
      <c r="E952" s="97"/>
      <c r="F952" s="97"/>
      <c r="G952" s="97"/>
      <c r="H952" s="97"/>
      <c r="I952" s="97"/>
      <c r="J952" s="97"/>
      <c r="K952" s="97"/>
      <c r="L952" s="97"/>
      <c r="M952" s="97"/>
      <c r="N952" s="97"/>
      <c r="O952" s="97"/>
      <c r="P952" s="97"/>
      <c r="Q952" s="97"/>
      <c r="R952" s="97"/>
      <c r="S952" s="97"/>
      <c r="T952" s="97"/>
      <c r="U952" s="97"/>
      <c r="V952" s="97"/>
      <c r="W952" s="97"/>
      <c r="X952" s="97"/>
      <c r="Y952" s="97"/>
      <c r="Z952" s="97"/>
    </row>
    <row r="953" spans="1:26" ht="15" hidden="1">
      <c r="A953" s="97"/>
      <c r="B953" s="97"/>
      <c r="C953" s="97"/>
      <c r="D953" s="97"/>
      <c r="E953" s="97"/>
      <c r="F953" s="97"/>
      <c r="G953" s="97"/>
      <c r="H953" s="97"/>
      <c r="I953" s="97"/>
      <c r="J953" s="97"/>
      <c r="K953" s="97"/>
      <c r="L953" s="97"/>
      <c r="M953" s="97"/>
      <c r="N953" s="97"/>
      <c r="O953" s="97"/>
      <c r="P953" s="97"/>
      <c r="Q953" s="97"/>
      <c r="R953" s="97"/>
      <c r="S953" s="97"/>
      <c r="T953" s="97"/>
      <c r="U953" s="97"/>
      <c r="V953" s="97"/>
      <c r="W953" s="97"/>
      <c r="X953" s="97"/>
      <c r="Y953" s="97"/>
      <c r="Z953" s="97"/>
    </row>
    <row r="954" spans="1:26" ht="15" hidden="1">
      <c r="A954" s="97"/>
      <c r="B954" s="97"/>
      <c r="C954" s="97"/>
      <c r="D954" s="97"/>
      <c r="E954" s="97"/>
      <c r="F954" s="97"/>
      <c r="G954" s="97"/>
      <c r="H954" s="97"/>
      <c r="I954" s="97"/>
      <c r="J954" s="97"/>
      <c r="K954" s="97"/>
      <c r="L954" s="97"/>
      <c r="M954" s="97"/>
      <c r="N954" s="97"/>
      <c r="O954" s="97"/>
      <c r="P954" s="97"/>
      <c r="Q954" s="97"/>
      <c r="R954" s="97"/>
      <c r="S954" s="97"/>
      <c r="T954" s="97"/>
      <c r="U954" s="97"/>
      <c r="V954" s="97"/>
      <c r="W954" s="97"/>
      <c r="X954" s="97"/>
      <c r="Y954" s="97"/>
      <c r="Z954" s="97"/>
    </row>
    <row r="955" spans="1:26" ht="15" hidden="1">
      <c r="A955" s="97"/>
      <c r="B955" s="97"/>
      <c r="C955" s="97"/>
      <c r="D955" s="97"/>
      <c r="E955" s="97"/>
      <c r="F955" s="97"/>
      <c r="G955" s="97"/>
      <c r="H955" s="97"/>
      <c r="I955" s="97"/>
      <c r="J955" s="97"/>
      <c r="K955" s="97"/>
      <c r="L955" s="97"/>
      <c r="M955" s="97"/>
      <c r="N955" s="97"/>
      <c r="O955" s="97"/>
      <c r="P955" s="97"/>
      <c r="Q955" s="97"/>
      <c r="R955" s="97"/>
      <c r="S955" s="97"/>
      <c r="T955" s="97"/>
      <c r="U955" s="97"/>
      <c r="V955" s="97"/>
      <c r="W955" s="97"/>
      <c r="X955" s="97"/>
      <c r="Y955" s="97"/>
      <c r="Z955" s="97"/>
    </row>
    <row r="956" spans="1:26" ht="15" hidden="1">
      <c r="A956" s="97"/>
      <c r="B956" s="97"/>
      <c r="C956" s="97"/>
      <c r="D956" s="97"/>
      <c r="E956" s="97"/>
      <c r="F956" s="97"/>
      <c r="G956" s="97"/>
      <c r="H956" s="97"/>
      <c r="I956" s="97"/>
      <c r="J956" s="97"/>
      <c r="K956" s="97"/>
      <c r="L956" s="97"/>
      <c r="M956" s="97"/>
      <c r="N956" s="97"/>
      <c r="O956" s="97"/>
      <c r="P956" s="97"/>
      <c r="Q956" s="97"/>
      <c r="R956" s="97"/>
      <c r="S956" s="97"/>
      <c r="T956" s="97"/>
      <c r="U956" s="97"/>
      <c r="V956" s="97"/>
      <c r="W956" s="97"/>
      <c r="X956" s="97"/>
      <c r="Y956" s="97"/>
      <c r="Z956" s="97"/>
    </row>
    <row r="957" spans="1:26" ht="15" hidden="1">
      <c r="A957" s="97"/>
      <c r="B957" s="97"/>
      <c r="C957" s="97"/>
      <c r="D957" s="97"/>
      <c r="E957" s="97"/>
      <c r="F957" s="97"/>
      <c r="G957" s="97"/>
      <c r="H957" s="97"/>
      <c r="I957" s="97"/>
      <c r="J957" s="97"/>
      <c r="K957" s="97"/>
      <c r="L957" s="97"/>
      <c r="M957" s="97"/>
      <c r="N957" s="97"/>
      <c r="O957" s="97"/>
      <c r="P957" s="97"/>
      <c r="Q957" s="97"/>
      <c r="R957" s="97"/>
      <c r="S957" s="97"/>
      <c r="T957" s="97"/>
      <c r="U957" s="97"/>
      <c r="V957" s="97"/>
      <c r="W957" s="97"/>
      <c r="X957" s="97"/>
      <c r="Y957" s="97"/>
      <c r="Z957" s="97"/>
    </row>
    <row r="958" spans="1:26" ht="15" hidden="1">
      <c r="A958" s="97"/>
      <c r="B958" s="97"/>
      <c r="C958" s="97"/>
      <c r="D958" s="97"/>
      <c r="E958" s="97"/>
      <c r="F958" s="97"/>
      <c r="G958" s="97"/>
      <c r="H958" s="97"/>
      <c r="I958" s="97"/>
      <c r="J958" s="97"/>
      <c r="K958" s="97"/>
      <c r="L958" s="97"/>
      <c r="M958" s="97"/>
      <c r="N958" s="97"/>
      <c r="O958" s="97"/>
      <c r="P958" s="97"/>
      <c r="Q958" s="97"/>
      <c r="R958" s="97"/>
      <c r="S958" s="97"/>
      <c r="T958" s="97"/>
      <c r="U958" s="97"/>
      <c r="V958" s="97"/>
      <c r="W958" s="97"/>
      <c r="X958" s="97"/>
      <c r="Y958" s="97"/>
      <c r="Z958" s="97"/>
    </row>
    <row r="959" spans="1:26" ht="15" hidden="1">
      <c r="A959" s="97"/>
      <c r="B959" s="97"/>
      <c r="C959" s="97"/>
      <c r="D959" s="97"/>
      <c r="E959" s="97"/>
      <c r="F959" s="97"/>
      <c r="G959" s="97"/>
      <c r="H959" s="97"/>
      <c r="I959" s="97"/>
      <c r="J959" s="97"/>
      <c r="K959" s="97"/>
      <c r="L959" s="97"/>
      <c r="M959" s="97"/>
      <c r="N959" s="97"/>
      <c r="O959" s="97"/>
      <c r="P959" s="97"/>
      <c r="Q959" s="97"/>
      <c r="R959" s="97"/>
      <c r="S959" s="97"/>
      <c r="T959" s="97"/>
      <c r="U959" s="97"/>
      <c r="V959" s="97"/>
      <c r="W959" s="97"/>
      <c r="X959" s="97"/>
      <c r="Y959" s="97"/>
      <c r="Z959" s="97"/>
    </row>
    <row r="960" spans="1:26" ht="15" hidden="1">
      <c r="A960" s="97"/>
      <c r="B960" s="97"/>
      <c r="C960" s="97"/>
      <c r="D960" s="97"/>
      <c r="E960" s="97"/>
      <c r="F960" s="97"/>
      <c r="G960" s="97"/>
      <c r="H960" s="97"/>
      <c r="I960" s="97"/>
      <c r="J960" s="97"/>
      <c r="K960" s="97"/>
      <c r="L960" s="97"/>
      <c r="M960" s="97"/>
      <c r="N960" s="97"/>
      <c r="O960" s="97"/>
      <c r="P960" s="97"/>
      <c r="Q960" s="97"/>
      <c r="R960" s="97"/>
      <c r="S960" s="97"/>
      <c r="T960" s="97"/>
      <c r="U960" s="97"/>
      <c r="V960" s="97"/>
      <c r="W960" s="97"/>
      <c r="X960" s="97"/>
      <c r="Y960" s="97"/>
      <c r="Z960" s="97"/>
    </row>
    <row r="961" spans="1:26" ht="15" hidden="1">
      <c r="A961" s="97"/>
      <c r="B961" s="97"/>
      <c r="C961" s="97"/>
      <c r="D961" s="97"/>
      <c r="E961" s="97"/>
      <c r="F961" s="97"/>
      <c r="G961" s="97"/>
      <c r="H961" s="97"/>
      <c r="I961" s="97"/>
      <c r="J961" s="97"/>
      <c r="K961" s="97"/>
      <c r="L961" s="97"/>
      <c r="M961" s="97"/>
      <c r="N961" s="97"/>
      <c r="O961" s="97"/>
      <c r="P961" s="97"/>
      <c r="Q961" s="97"/>
      <c r="R961" s="97"/>
      <c r="S961" s="97"/>
      <c r="T961" s="97"/>
      <c r="U961" s="97"/>
      <c r="V961" s="97"/>
      <c r="W961" s="97"/>
      <c r="X961" s="97"/>
      <c r="Y961" s="97"/>
      <c r="Z961" s="97"/>
    </row>
    <row r="962" spans="1:26" ht="15" hidden="1">
      <c r="A962" s="97"/>
      <c r="B962" s="97"/>
      <c r="C962" s="97"/>
      <c r="D962" s="97"/>
      <c r="E962" s="97"/>
      <c r="F962" s="97"/>
      <c r="G962" s="97"/>
      <c r="H962" s="97"/>
      <c r="I962" s="97"/>
      <c r="J962" s="97"/>
      <c r="K962" s="97"/>
      <c r="L962" s="97"/>
      <c r="M962" s="97"/>
      <c r="N962" s="97"/>
      <c r="O962" s="97"/>
      <c r="P962" s="97"/>
      <c r="Q962" s="97"/>
      <c r="R962" s="97"/>
      <c r="S962" s="97"/>
      <c r="T962" s="97"/>
      <c r="U962" s="97"/>
      <c r="V962" s="97"/>
      <c r="W962" s="97"/>
      <c r="X962" s="97"/>
      <c r="Y962" s="97"/>
      <c r="Z962" s="97"/>
    </row>
    <row r="963" spans="1:26" ht="15" hidden="1">
      <c r="A963" s="97"/>
      <c r="B963" s="97"/>
      <c r="C963" s="97"/>
      <c r="D963" s="97"/>
      <c r="E963" s="97"/>
      <c r="F963" s="97"/>
      <c r="G963" s="97"/>
      <c r="H963" s="97"/>
      <c r="I963" s="97"/>
      <c r="J963" s="97"/>
      <c r="K963" s="97"/>
      <c r="L963" s="97"/>
      <c r="M963" s="97"/>
      <c r="N963" s="97"/>
      <c r="O963" s="97"/>
      <c r="P963" s="97"/>
      <c r="Q963" s="97"/>
      <c r="R963" s="97"/>
      <c r="S963" s="97"/>
      <c r="T963" s="97"/>
      <c r="U963" s="97"/>
      <c r="V963" s="97"/>
      <c r="W963" s="97"/>
      <c r="X963" s="97"/>
      <c r="Y963" s="97"/>
      <c r="Z963" s="97"/>
    </row>
    <row r="964" spans="1:26" ht="15" hidden="1">
      <c r="A964" s="97"/>
      <c r="B964" s="97"/>
      <c r="C964" s="97"/>
      <c r="D964" s="97"/>
      <c r="E964" s="97"/>
      <c r="F964" s="97"/>
      <c r="G964" s="97"/>
      <c r="H964" s="97"/>
      <c r="I964" s="97"/>
      <c r="J964" s="97"/>
      <c r="K964" s="97"/>
      <c r="L964" s="97"/>
      <c r="M964" s="97"/>
      <c r="N964" s="97"/>
      <c r="O964" s="97"/>
      <c r="P964" s="97"/>
      <c r="Q964" s="97"/>
      <c r="R964" s="97"/>
      <c r="S964" s="97"/>
      <c r="T964" s="97"/>
      <c r="U964" s="97"/>
      <c r="V964" s="97"/>
      <c r="W964" s="97"/>
      <c r="X964" s="97"/>
      <c r="Y964" s="97"/>
      <c r="Z964" s="97"/>
    </row>
    <row r="965" spans="1:26" ht="15" hidden="1">
      <c r="A965" s="97"/>
      <c r="B965" s="97"/>
      <c r="C965" s="97"/>
      <c r="D965" s="97"/>
      <c r="E965" s="97"/>
      <c r="F965" s="97"/>
      <c r="G965" s="97"/>
      <c r="H965" s="97"/>
      <c r="I965" s="97"/>
      <c r="J965" s="97"/>
      <c r="K965" s="97"/>
      <c r="L965" s="97"/>
      <c r="M965" s="97"/>
      <c r="N965" s="97"/>
      <c r="O965" s="97"/>
      <c r="P965" s="97"/>
      <c r="Q965" s="97"/>
      <c r="R965" s="97"/>
      <c r="S965" s="97"/>
      <c r="T965" s="97"/>
      <c r="U965" s="97"/>
      <c r="V965" s="97"/>
      <c r="W965" s="97"/>
      <c r="X965" s="97"/>
      <c r="Y965" s="97"/>
      <c r="Z965" s="97"/>
    </row>
    <row r="966" spans="1:26" ht="15" hidden="1">
      <c r="A966" s="97"/>
      <c r="B966" s="97"/>
      <c r="C966" s="97"/>
      <c r="D966" s="97"/>
      <c r="E966" s="97"/>
      <c r="F966" s="97"/>
      <c r="G966" s="97"/>
      <c r="H966" s="97"/>
      <c r="I966" s="97"/>
      <c r="J966" s="97"/>
      <c r="K966" s="97"/>
      <c r="L966" s="97"/>
      <c r="M966" s="97"/>
      <c r="N966" s="97"/>
      <c r="O966" s="97"/>
      <c r="P966" s="97"/>
      <c r="Q966" s="97"/>
      <c r="R966" s="97"/>
      <c r="S966" s="97"/>
      <c r="T966" s="97"/>
      <c r="U966" s="97"/>
      <c r="V966" s="97"/>
      <c r="W966" s="97"/>
      <c r="X966" s="97"/>
      <c r="Y966" s="97"/>
      <c r="Z966" s="97"/>
    </row>
    <row r="967" spans="1:26" ht="15" hidden="1">
      <c r="A967" s="97"/>
      <c r="B967" s="97"/>
      <c r="C967" s="97"/>
      <c r="D967" s="97"/>
      <c r="E967" s="97"/>
      <c r="F967" s="97"/>
      <c r="G967" s="97"/>
      <c r="H967" s="97"/>
      <c r="I967" s="97"/>
      <c r="J967" s="97"/>
      <c r="K967" s="97"/>
      <c r="L967" s="97"/>
      <c r="M967" s="97"/>
      <c r="N967" s="97"/>
      <c r="O967" s="97"/>
      <c r="P967" s="97"/>
      <c r="Q967" s="97"/>
      <c r="R967" s="97"/>
      <c r="S967" s="97"/>
      <c r="T967" s="97"/>
      <c r="U967" s="97"/>
      <c r="V967" s="97"/>
      <c r="W967" s="97"/>
      <c r="X967" s="97"/>
      <c r="Y967" s="97"/>
      <c r="Z967" s="97"/>
    </row>
    <row r="968" spans="1:26" ht="15" hidden="1">
      <c r="A968" s="97"/>
      <c r="B968" s="97"/>
      <c r="C968" s="97"/>
      <c r="D968" s="97"/>
      <c r="E968" s="97"/>
      <c r="F968" s="97"/>
      <c r="G968" s="97"/>
      <c r="H968" s="97"/>
      <c r="I968" s="97"/>
      <c r="J968" s="97"/>
      <c r="K968" s="97"/>
      <c r="L968" s="97"/>
      <c r="M968" s="97"/>
      <c r="N968" s="97"/>
      <c r="O968" s="97"/>
      <c r="P968" s="97"/>
      <c r="Q968" s="97"/>
      <c r="R968" s="97"/>
      <c r="S968" s="97"/>
      <c r="T968" s="97"/>
      <c r="U968" s="97"/>
      <c r="V968" s="97"/>
      <c r="W968" s="97"/>
      <c r="X968" s="97"/>
      <c r="Y968" s="97"/>
      <c r="Z968" s="97"/>
    </row>
    <row r="969" spans="1:26" ht="15" hidden="1">
      <c r="A969" s="97"/>
      <c r="B969" s="97"/>
      <c r="C969" s="97"/>
      <c r="D969" s="97"/>
      <c r="E969" s="97"/>
      <c r="F969" s="97"/>
      <c r="G969" s="97"/>
      <c r="H969" s="97"/>
      <c r="I969" s="97"/>
      <c r="J969" s="97"/>
      <c r="K969" s="97"/>
      <c r="L969" s="97"/>
      <c r="M969" s="97"/>
      <c r="N969" s="97"/>
      <c r="O969" s="97"/>
      <c r="P969" s="97"/>
      <c r="Q969" s="97"/>
      <c r="R969" s="97"/>
      <c r="S969" s="97"/>
      <c r="T969" s="97"/>
      <c r="U969" s="97"/>
      <c r="V969" s="97"/>
      <c r="W969" s="97"/>
      <c r="X969" s="97"/>
      <c r="Y969" s="97"/>
      <c r="Z969" s="97"/>
    </row>
    <row r="970" spans="1:26" ht="15" hidden="1">
      <c r="A970" s="97"/>
      <c r="B970" s="97"/>
      <c r="C970" s="97"/>
      <c r="D970" s="97"/>
      <c r="E970" s="97"/>
      <c r="F970" s="97"/>
      <c r="G970" s="97"/>
      <c r="H970" s="97"/>
      <c r="I970" s="97"/>
      <c r="J970" s="97"/>
      <c r="K970" s="97"/>
      <c r="L970" s="97"/>
      <c r="M970" s="97"/>
      <c r="N970" s="97"/>
      <c r="O970" s="97"/>
      <c r="P970" s="97"/>
      <c r="Q970" s="97"/>
      <c r="R970" s="97"/>
      <c r="S970" s="97"/>
      <c r="T970" s="97"/>
      <c r="U970" s="97"/>
      <c r="V970" s="97"/>
      <c r="W970" s="97"/>
      <c r="X970" s="97"/>
      <c r="Y970" s="97"/>
      <c r="Z970" s="97"/>
    </row>
    <row r="971" spans="1:26" ht="15" hidden="1">
      <c r="A971" s="97"/>
      <c r="B971" s="97"/>
      <c r="C971" s="97"/>
      <c r="D971" s="97"/>
      <c r="E971" s="97"/>
      <c r="F971" s="97"/>
      <c r="G971" s="97"/>
      <c r="H971" s="97"/>
      <c r="I971" s="97"/>
      <c r="J971" s="97"/>
      <c r="K971" s="97"/>
      <c r="L971" s="97"/>
      <c r="M971" s="97"/>
      <c r="N971" s="97"/>
      <c r="O971" s="97"/>
      <c r="P971" s="97"/>
      <c r="Q971" s="97"/>
      <c r="R971" s="97"/>
      <c r="S971" s="97"/>
      <c r="T971" s="97"/>
      <c r="U971" s="97"/>
      <c r="V971" s="97"/>
      <c r="W971" s="97"/>
      <c r="X971" s="97"/>
      <c r="Y971" s="97"/>
      <c r="Z971" s="97"/>
    </row>
    <row r="972" spans="1:26" ht="15" hidden="1">
      <c r="A972" s="97"/>
      <c r="B972" s="97"/>
      <c r="C972" s="97"/>
      <c r="D972" s="97"/>
      <c r="E972" s="97"/>
      <c r="F972" s="97"/>
      <c r="G972" s="97"/>
      <c r="H972" s="97"/>
      <c r="I972" s="97"/>
      <c r="J972" s="97"/>
      <c r="K972" s="97"/>
      <c r="L972" s="97"/>
      <c r="M972" s="97"/>
      <c r="N972" s="97"/>
      <c r="O972" s="97"/>
      <c r="P972" s="97"/>
      <c r="Q972" s="97"/>
      <c r="R972" s="97"/>
      <c r="S972" s="97"/>
      <c r="T972" s="97"/>
      <c r="U972" s="97"/>
      <c r="V972" s="97"/>
      <c r="W972" s="97"/>
      <c r="X972" s="97"/>
      <c r="Y972" s="97"/>
      <c r="Z972" s="97"/>
    </row>
    <row r="973" spans="1:26" ht="15" hidden="1">
      <c r="A973" s="97"/>
      <c r="B973" s="97"/>
      <c r="C973" s="97"/>
      <c r="D973" s="97"/>
      <c r="E973" s="97"/>
      <c r="F973" s="97"/>
      <c r="G973" s="97"/>
      <c r="H973" s="97"/>
      <c r="I973" s="97"/>
      <c r="J973" s="97"/>
      <c r="K973" s="97"/>
      <c r="L973" s="97"/>
      <c r="M973" s="97"/>
      <c r="N973" s="97"/>
      <c r="O973" s="97"/>
      <c r="P973" s="97"/>
      <c r="Q973" s="97"/>
      <c r="R973" s="97"/>
      <c r="S973" s="97"/>
      <c r="T973" s="97"/>
      <c r="U973" s="97"/>
      <c r="V973" s="97"/>
      <c r="W973" s="97"/>
      <c r="X973" s="97"/>
      <c r="Y973" s="97"/>
      <c r="Z973" s="97"/>
    </row>
    <row r="974" spans="1:26" ht="15" hidden="1">
      <c r="A974" s="97"/>
      <c r="B974" s="97"/>
      <c r="C974" s="97"/>
      <c r="D974" s="97"/>
      <c r="E974" s="97"/>
      <c r="F974" s="97"/>
      <c r="G974" s="97"/>
      <c r="H974" s="97"/>
      <c r="I974" s="97"/>
      <c r="J974" s="97"/>
      <c r="K974" s="97"/>
      <c r="L974" s="97"/>
      <c r="M974" s="97"/>
      <c r="N974" s="97"/>
      <c r="O974" s="97"/>
      <c r="P974" s="97"/>
      <c r="Q974" s="97"/>
      <c r="R974" s="97"/>
      <c r="S974" s="97"/>
      <c r="T974" s="97"/>
      <c r="U974" s="97"/>
      <c r="V974" s="97"/>
      <c r="W974" s="97"/>
      <c r="X974" s="97"/>
      <c r="Y974" s="97"/>
      <c r="Z974" s="97"/>
    </row>
    <row r="975" spans="1:26" ht="15" hidden="1">
      <c r="A975" s="97"/>
      <c r="B975" s="97"/>
      <c r="C975" s="97"/>
      <c r="D975" s="97"/>
      <c r="E975" s="97"/>
      <c r="F975" s="97"/>
      <c r="G975" s="97"/>
      <c r="H975" s="97"/>
      <c r="I975" s="97"/>
      <c r="J975" s="97"/>
      <c r="K975" s="97"/>
      <c r="L975" s="97"/>
      <c r="M975" s="97"/>
      <c r="N975" s="97"/>
      <c r="O975" s="97"/>
      <c r="P975" s="97"/>
      <c r="Q975" s="97"/>
      <c r="R975" s="97"/>
      <c r="S975" s="97"/>
      <c r="T975" s="97"/>
      <c r="U975" s="97"/>
      <c r="V975" s="97"/>
      <c r="W975" s="97"/>
      <c r="X975" s="97"/>
      <c r="Y975" s="97"/>
      <c r="Z975" s="97"/>
    </row>
    <row r="976" spans="1:26" ht="15" hidden="1">
      <c r="A976" s="97"/>
      <c r="B976" s="97"/>
      <c r="C976" s="97"/>
      <c r="D976" s="97"/>
      <c r="E976" s="97"/>
      <c r="F976" s="97"/>
      <c r="G976" s="97"/>
      <c r="H976" s="97"/>
      <c r="I976" s="97"/>
      <c r="J976" s="97"/>
      <c r="K976" s="97"/>
      <c r="L976" s="97"/>
      <c r="M976" s="97"/>
      <c r="N976" s="97"/>
      <c r="O976" s="97"/>
      <c r="P976" s="97"/>
      <c r="Q976" s="97"/>
      <c r="R976" s="97"/>
      <c r="S976" s="97"/>
      <c r="T976" s="97"/>
      <c r="U976" s="97"/>
      <c r="V976" s="97"/>
      <c r="W976" s="97"/>
      <c r="X976" s="97"/>
      <c r="Y976" s="97"/>
      <c r="Z976" s="97"/>
    </row>
    <row r="977" spans="1:26" ht="15" hidden="1">
      <c r="A977" s="97"/>
      <c r="B977" s="97"/>
      <c r="C977" s="97"/>
      <c r="D977" s="97"/>
      <c r="E977" s="97"/>
      <c r="F977" s="97"/>
      <c r="G977" s="97"/>
      <c r="H977" s="97"/>
      <c r="I977" s="97"/>
      <c r="J977" s="97"/>
      <c r="K977" s="97"/>
      <c r="L977" s="97"/>
      <c r="M977" s="97"/>
      <c r="N977" s="97"/>
      <c r="O977" s="97"/>
      <c r="P977" s="97"/>
      <c r="Q977" s="97"/>
      <c r="R977" s="97"/>
      <c r="S977" s="97"/>
      <c r="T977" s="97"/>
      <c r="U977" s="97"/>
      <c r="V977" s="97"/>
      <c r="W977" s="97"/>
      <c r="X977" s="97"/>
      <c r="Y977" s="97"/>
      <c r="Z977" s="97"/>
    </row>
    <row r="978" spans="1:26" ht="15" hidden="1">
      <c r="A978" s="97"/>
      <c r="B978" s="97"/>
      <c r="C978" s="97"/>
      <c r="D978" s="97"/>
      <c r="E978" s="97"/>
      <c r="F978" s="97"/>
      <c r="G978" s="97"/>
      <c r="H978" s="97"/>
      <c r="I978" s="97"/>
      <c r="J978" s="97"/>
      <c r="K978" s="97"/>
      <c r="L978" s="97"/>
      <c r="M978" s="97"/>
      <c r="N978" s="97"/>
      <c r="O978" s="97"/>
      <c r="P978" s="97"/>
      <c r="Q978" s="97"/>
      <c r="R978" s="97"/>
      <c r="S978" s="97"/>
      <c r="T978" s="97"/>
      <c r="U978" s="97"/>
      <c r="V978" s="97"/>
      <c r="W978" s="97"/>
      <c r="X978" s="97"/>
      <c r="Y978" s="97"/>
      <c r="Z978" s="97"/>
    </row>
    <row r="979" spans="1:26" ht="15" hidden="1">
      <c r="A979" s="97"/>
      <c r="B979" s="97"/>
      <c r="C979" s="97"/>
      <c r="D979" s="97"/>
      <c r="E979" s="97"/>
      <c r="F979" s="97"/>
      <c r="G979" s="97"/>
      <c r="H979" s="97"/>
      <c r="I979" s="97"/>
      <c r="J979" s="97"/>
      <c r="K979" s="97"/>
      <c r="L979" s="97"/>
      <c r="M979" s="97"/>
      <c r="N979" s="97"/>
      <c r="O979" s="97"/>
      <c r="P979" s="97"/>
      <c r="Q979" s="97"/>
      <c r="R979" s="97"/>
      <c r="S979" s="97"/>
      <c r="T979" s="97"/>
      <c r="U979" s="97"/>
      <c r="V979" s="97"/>
      <c r="W979" s="97"/>
      <c r="X979" s="97"/>
      <c r="Y979" s="97"/>
      <c r="Z979" s="97"/>
    </row>
    <row r="980" spans="1:26" ht="15" hidden="1">
      <c r="A980" s="97"/>
      <c r="B980" s="97"/>
      <c r="C980" s="97"/>
      <c r="D980" s="97"/>
      <c r="E980" s="97"/>
      <c r="F980" s="97"/>
      <c r="G980" s="97"/>
      <c r="H980" s="97"/>
      <c r="I980" s="97"/>
      <c r="J980" s="97"/>
      <c r="K980" s="97"/>
      <c r="L980" s="97"/>
      <c r="M980" s="97"/>
      <c r="N980" s="97"/>
      <c r="O980" s="97"/>
      <c r="P980" s="97"/>
      <c r="Q980" s="97"/>
      <c r="R980" s="97"/>
      <c r="S980" s="97"/>
      <c r="T980" s="97"/>
      <c r="U980" s="97"/>
      <c r="V980" s="97"/>
      <c r="W980" s="97"/>
      <c r="X980" s="97"/>
      <c r="Y980" s="97"/>
      <c r="Z980" s="97"/>
    </row>
    <row r="981" spans="1:26" ht="15" hidden="1">
      <c r="A981" s="97"/>
      <c r="B981" s="97"/>
      <c r="C981" s="97"/>
      <c r="D981" s="97"/>
      <c r="E981" s="97"/>
      <c r="F981" s="97"/>
      <c r="G981" s="97"/>
      <c r="H981" s="97"/>
      <c r="I981" s="97"/>
      <c r="J981" s="97"/>
      <c r="K981" s="97"/>
      <c r="L981" s="97"/>
      <c r="M981" s="97"/>
      <c r="N981" s="97"/>
      <c r="O981" s="97"/>
      <c r="P981" s="97"/>
      <c r="Q981" s="97"/>
      <c r="R981" s="97"/>
      <c r="S981" s="97"/>
      <c r="T981" s="97"/>
      <c r="U981" s="97"/>
      <c r="V981" s="97"/>
      <c r="W981" s="97"/>
      <c r="X981" s="97"/>
      <c r="Y981" s="97"/>
      <c r="Z981" s="97"/>
    </row>
    <row r="982" spans="1:26" ht="15" hidden="1">
      <c r="A982" s="97"/>
      <c r="B982" s="97"/>
      <c r="C982" s="97"/>
      <c r="D982" s="97"/>
      <c r="E982" s="97"/>
      <c r="F982" s="97"/>
      <c r="G982" s="97"/>
      <c r="H982" s="97"/>
      <c r="I982" s="97"/>
      <c r="J982" s="97"/>
      <c r="K982" s="97"/>
      <c r="L982" s="97"/>
      <c r="M982" s="97"/>
      <c r="N982" s="97"/>
      <c r="O982" s="97"/>
      <c r="P982" s="97"/>
      <c r="Q982" s="97"/>
      <c r="R982" s="97"/>
      <c r="S982" s="97"/>
      <c r="T982" s="97"/>
      <c r="U982" s="97"/>
      <c r="V982" s="97"/>
      <c r="W982" s="97"/>
      <c r="X982" s="97"/>
      <c r="Y982" s="97"/>
      <c r="Z982" s="97"/>
    </row>
    <row r="983" spans="1:26" ht="15" hidden="1">
      <c r="A983" s="97"/>
      <c r="B983" s="97"/>
      <c r="C983" s="97"/>
      <c r="D983" s="97"/>
      <c r="E983" s="97"/>
      <c r="F983" s="97"/>
      <c r="G983" s="97"/>
      <c r="H983" s="97"/>
      <c r="I983" s="97"/>
      <c r="J983" s="97"/>
      <c r="K983" s="97"/>
      <c r="L983" s="97"/>
      <c r="M983" s="97"/>
      <c r="N983" s="97"/>
      <c r="O983" s="97"/>
      <c r="P983" s="97"/>
      <c r="Q983" s="97"/>
      <c r="R983" s="97"/>
      <c r="S983" s="97"/>
      <c r="T983" s="97"/>
      <c r="U983" s="97"/>
      <c r="V983" s="97"/>
      <c r="W983" s="97"/>
      <c r="X983" s="97"/>
      <c r="Y983" s="97"/>
      <c r="Z983" s="97"/>
    </row>
    <row r="984" spans="1:26" ht="15" hidden="1">
      <c r="A984" s="97"/>
      <c r="B984" s="97"/>
      <c r="C984" s="97"/>
      <c r="D984" s="97"/>
      <c r="E984" s="97"/>
      <c r="F984" s="97"/>
      <c r="G984" s="97"/>
      <c r="H984" s="97"/>
      <c r="I984" s="97"/>
      <c r="J984" s="97"/>
      <c r="K984" s="97"/>
      <c r="L984" s="97"/>
      <c r="M984" s="97"/>
      <c r="N984" s="97"/>
      <c r="O984" s="97"/>
      <c r="P984" s="97"/>
      <c r="Q984" s="97"/>
      <c r="R984" s="97"/>
      <c r="S984" s="97"/>
      <c r="T984" s="97"/>
      <c r="U984" s="97"/>
      <c r="V984" s="97"/>
      <c r="W984" s="97"/>
      <c r="X984" s="97"/>
      <c r="Y984" s="97"/>
      <c r="Z984" s="97"/>
    </row>
    <row r="985" spans="1:26" ht="15" hidden="1">
      <c r="A985" s="97"/>
      <c r="B985" s="97"/>
      <c r="C985" s="97"/>
      <c r="D985" s="97"/>
      <c r="E985" s="97"/>
      <c r="F985" s="97"/>
      <c r="G985" s="97"/>
      <c r="H985" s="97"/>
      <c r="I985" s="97"/>
      <c r="J985" s="97"/>
      <c r="K985" s="97"/>
      <c r="L985" s="97"/>
      <c r="M985" s="97"/>
      <c r="N985" s="97"/>
      <c r="O985" s="97"/>
      <c r="P985" s="97"/>
      <c r="Q985" s="97"/>
      <c r="R985" s="97"/>
      <c r="S985" s="97"/>
      <c r="T985" s="97"/>
      <c r="U985" s="97"/>
      <c r="V985" s="97"/>
      <c r="W985" s="97"/>
      <c r="X985" s="97"/>
      <c r="Y985" s="97"/>
      <c r="Z985" s="97"/>
    </row>
    <row r="986" spans="1:26" ht="15" hidden="1">
      <c r="A986" s="97"/>
      <c r="B986" s="97"/>
      <c r="C986" s="97"/>
      <c r="D986" s="97"/>
      <c r="E986" s="97"/>
      <c r="F986" s="97"/>
      <c r="G986" s="97"/>
      <c r="H986" s="97"/>
      <c r="I986" s="97"/>
      <c r="J986" s="97"/>
      <c r="K986" s="97"/>
      <c r="L986" s="97"/>
      <c r="M986" s="97"/>
      <c r="N986" s="97"/>
      <c r="O986" s="97"/>
      <c r="P986" s="97"/>
      <c r="Q986" s="97"/>
      <c r="R986" s="97"/>
      <c r="S986" s="97"/>
      <c r="T986" s="97"/>
      <c r="U986" s="97"/>
      <c r="V986" s="97"/>
      <c r="W986" s="97"/>
      <c r="X986" s="97"/>
      <c r="Y986" s="97"/>
      <c r="Z986" s="97"/>
    </row>
    <row r="987" spans="1:26" ht="15" hidden="1">
      <c r="A987" s="97"/>
      <c r="B987" s="97"/>
      <c r="C987" s="97"/>
      <c r="D987" s="97"/>
      <c r="E987" s="97"/>
      <c r="F987" s="97"/>
      <c r="G987" s="97"/>
      <c r="H987" s="97"/>
      <c r="I987" s="97"/>
      <c r="J987" s="97"/>
      <c r="K987" s="97"/>
      <c r="L987" s="97"/>
      <c r="M987" s="97"/>
      <c r="N987" s="97"/>
      <c r="O987" s="97"/>
      <c r="P987" s="97"/>
      <c r="Q987" s="97"/>
      <c r="R987" s="97"/>
      <c r="S987" s="97"/>
      <c r="T987" s="97"/>
      <c r="U987" s="97"/>
      <c r="V987" s="97"/>
      <c r="W987" s="97"/>
      <c r="X987" s="97"/>
      <c r="Y987" s="97"/>
      <c r="Z987" s="97"/>
    </row>
    <row r="988" spans="1:26" ht="15" hidden="1">
      <c r="A988" s="97"/>
      <c r="B988" s="97"/>
      <c r="C988" s="97"/>
      <c r="D988" s="97"/>
      <c r="E988" s="97"/>
      <c r="F988" s="97"/>
      <c r="G988" s="97"/>
      <c r="H988" s="97"/>
      <c r="I988" s="97"/>
      <c r="J988" s="97"/>
      <c r="K988" s="97"/>
      <c r="L988" s="97"/>
      <c r="M988" s="97"/>
      <c r="N988" s="97"/>
      <c r="O988" s="97"/>
      <c r="P988" s="97"/>
      <c r="Q988" s="97"/>
      <c r="R988" s="97"/>
      <c r="S988" s="97"/>
      <c r="T988" s="97"/>
      <c r="U988" s="97"/>
      <c r="V988" s="97"/>
      <c r="W988" s="97"/>
      <c r="X988" s="97"/>
      <c r="Y988" s="97"/>
      <c r="Z988" s="97"/>
    </row>
    <row r="989" spans="1:26" ht="15" hidden="1">
      <c r="A989" s="97"/>
      <c r="B989" s="97"/>
      <c r="C989" s="97"/>
      <c r="D989" s="97"/>
      <c r="E989" s="97"/>
      <c r="F989" s="97"/>
      <c r="G989" s="97"/>
      <c r="H989" s="97"/>
      <c r="I989" s="97"/>
      <c r="J989" s="97"/>
      <c r="K989" s="97"/>
      <c r="L989" s="97"/>
      <c r="M989" s="97"/>
      <c r="N989" s="97"/>
      <c r="O989" s="97"/>
      <c r="P989" s="97"/>
      <c r="Q989" s="97"/>
      <c r="R989" s="97"/>
      <c r="S989" s="97"/>
      <c r="T989" s="97"/>
      <c r="U989" s="97"/>
      <c r="V989" s="97"/>
      <c r="W989" s="97"/>
      <c r="X989" s="97"/>
      <c r="Y989" s="97"/>
      <c r="Z989" s="97"/>
    </row>
    <row r="990" spans="1:26" ht="15" hidden="1">
      <c r="A990" s="97"/>
      <c r="B990" s="97"/>
      <c r="C990" s="97"/>
      <c r="D990" s="97"/>
      <c r="E990" s="97"/>
      <c r="F990" s="97"/>
      <c r="G990" s="97"/>
      <c r="H990" s="97"/>
      <c r="I990" s="97"/>
      <c r="J990" s="97"/>
      <c r="K990" s="97"/>
      <c r="L990" s="97"/>
      <c r="M990" s="97"/>
      <c r="N990" s="97"/>
      <c r="O990" s="97"/>
      <c r="P990" s="97"/>
      <c r="Q990" s="97"/>
      <c r="R990" s="97"/>
      <c r="S990" s="97"/>
      <c r="T990" s="97"/>
      <c r="U990" s="97"/>
      <c r="V990" s="97"/>
      <c r="W990" s="97"/>
      <c r="X990" s="97"/>
      <c r="Y990" s="97"/>
      <c r="Z990" s="97"/>
    </row>
    <row r="991" spans="1:26" ht="15" hidden="1">
      <c r="A991" s="97"/>
      <c r="B991" s="97"/>
      <c r="C991" s="97"/>
      <c r="D991" s="97"/>
      <c r="E991" s="97"/>
      <c r="F991" s="97"/>
      <c r="G991" s="97"/>
      <c r="H991" s="97"/>
      <c r="I991" s="97"/>
      <c r="J991" s="97"/>
      <c r="K991" s="97"/>
      <c r="L991" s="97"/>
      <c r="M991" s="97"/>
      <c r="N991" s="97"/>
      <c r="O991" s="97"/>
      <c r="P991" s="97"/>
      <c r="Q991" s="97"/>
      <c r="R991" s="97"/>
      <c r="S991" s="97"/>
      <c r="T991" s="97"/>
      <c r="U991" s="97"/>
      <c r="V991" s="97"/>
      <c r="W991" s="97"/>
      <c r="X991" s="97"/>
      <c r="Y991" s="97"/>
      <c r="Z991" s="97"/>
    </row>
    <row r="992" spans="1:26" ht="15" hidden="1">
      <c r="A992" s="97"/>
      <c r="B992" s="97"/>
      <c r="C992" s="97"/>
      <c r="D992" s="97"/>
      <c r="E992" s="97"/>
      <c r="F992" s="97"/>
      <c r="G992" s="97"/>
      <c r="H992" s="97"/>
      <c r="I992" s="97"/>
      <c r="J992" s="97"/>
      <c r="K992" s="97"/>
      <c r="L992" s="97"/>
      <c r="M992" s="97"/>
      <c r="N992" s="97"/>
      <c r="O992" s="97"/>
      <c r="P992" s="97"/>
      <c r="Q992" s="97"/>
      <c r="R992" s="97"/>
      <c r="S992" s="97"/>
      <c r="T992" s="97"/>
      <c r="U992" s="97"/>
      <c r="V992" s="97"/>
      <c r="W992" s="97"/>
      <c r="X992" s="97"/>
      <c r="Y992" s="97"/>
      <c r="Z992" s="97"/>
    </row>
    <row r="993" spans="1:26" ht="15" hidden="1">
      <c r="A993" s="97"/>
      <c r="B993" s="97"/>
      <c r="C993" s="97"/>
      <c r="D993" s="97"/>
      <c r="E993" s="97"/>
      <c r="F993" s="97"/>
      <c r="G993" s="97"/>
      <c r="H993" s="97"/>
      <c r="I993" s="97"/>
      <c r="J993" s="97"/>
      <c r="K993" s="97"/>
      <c r="L993" s="97"/>
      <c r="M993" s="97"/>
      <c r="N993" s="97"/>
      <c r="O993" s="97"/>
      <c r="P993" s="97"/>
      <c r="Q993" s="97"/>
      <c r="R993" s="97"/>
      <c r="S993" s="97"/>
      <c r="T993" s="97"/>
      <c r="U993" s="97"/>
      <c r="V993" s="97"/>
      <c r="W993" s="97"/>
      <c r="X993" s="97"/>
      <c r="Y993" s="97"/>
      <c r="Z993" s="97"/>
    </row>
    <row r="994" spans="1:26" ht="15" hidden="1">
      <c r="A994" s="97"/>
      <c r="B994" s="97"/>
      <c r="C994" s="97"/>
      <c r="D994" s="97"/>
      <c r="E994" s="97"/>
      <c r="F994" s="97"/>
      <c r="G994" s="97"/>
      <c r="H994" s="97"/>
      <c r="I994" s="97"/>
      <c r="J994" s="97"/>
      <c r="K994" s="97"/>
      <c r="L994" s="97"/>
      <c r="M994" s="97"/>
      <c r="N994" s="97"/>
      <c r="O994" s="97"/>
      <c r="P994" s="97"/>
      <c r="Q994" s="97"/>
      <c r="R994" s="97"/>
      <c r="S994" s="97"/>
      <c r="T994" s="97"/>
      <c r="U994" s="97"/>
      <c r="V994" s="97"/>
      <c r="W994" s="97"/>
      <c r="X994" s="97"/>
      <c r="Y994" s="97"/>
      <c r="Z994" s="97"/>
    </row>
    <row r="995" spans="1:26" ht="15" hidden="1">
      <c r="A995" s="97"/>
      <c r="B995" s="97"/>
      <c r="C995" s="97"/>
      <c r="D995" s="97"/>
      <c r="E995" s="97"/>
      <c r="F995" s="97"/>
      <c r="G995" s="97"/>
      <c r="H995" s="97"/>
      <c r="I995" s="97"/>
      <c r="J995" s="97"/>
      <c r="K995" s="97"/>
      <c r="L995" s="97"/>
      <c r="M995" s="97"/>
      <c r="N995" s="97"/>
      <c r="O995" s="97"/>
      <c r="P995" s="97"/>
      <c r="Q995" s="97"/>
      <c r="R995" s="97"/>
      <c r="S995" s="97"/>
      <c r="T995" s="97"/>
      <c r="U995" s="97"/>
      <c r="V995" s="97"/>
      <c r="W995" s="97"/>
      <c r="X995" s="97"/>
      <c r="Y995" s="97"/>
      <c r="Z995" s="97"/>
    </row>
    <row r="996" spans="1:26" ht="15" hidden="1">
      <c r="A996" s="97"/>
      <c r="B996" s="97"/>
      <c r="C996" s="97"/>
      <c r="D996" s="97"/>
      <c r="E996" s="97"/>
      <c r="F996" s="97"/>
      <c r="G996" s="97"/>
      <c r="H996" s="97"/>
      <c r="I996" s="97"/>
      <c r="J996" s="97"/>
      <c r="K996" s="97"/>
      <c r="L996" s="97"/>
      <c r="M996" s="97"/>
      <c r="N996" s="97"/>
      <c r="O996" s="97"/>
      <c r="P996" s="97"/>
      <c r="Q996" s="97"/>
      <c r="R996" s="97"/>
      <c r="S996" s="97"/>
      <c r="T996" s="97"/>
      <c r="U996" s="97"/>
      <c r="V996" s="97"/>
      <c r="W996" s="97"/>
      <c r="X996" s="97"/>
      <c r="Y996" s="97"/>
      <c r="Z996" s="97"/>
    </row>
    <row r="997" spans="1:26" ht="15" hidden="1">
      <c r="A997" s="97"/>
      <c r="B997" s="97"/>
      <c r="C997" s="97"/>
      <c r="D997" s="97"/>
      <c r="E997" s="97"/>
      <c r="F997" s="97"/>
      <c r="G997" s="97"/>
      <c r="H997" s="97"/>
      <c r="I997" s="97"/>
      <c r="J997" s="97"/>
      <c r="K997" s="97"/>
      <c r="L997" s="97"/>
      <c r="M997" s="97"/>
      <c r="N997" s="97"/>
      <c r="O997" s="97"/>
      <c r="P997" s="97"/>
      <c r="Q997" s="97"/>
      <c r="R997" s="97"/>
      <c r="S997" s="97"/>
      <c r="T997" s="97"/>
      <c r="U997" s="97"/>
      <c r="V997" s="97"/>
      <c r="W997" s="97"/>
      <c r="X997" s="97"/>
      <c r="Y997" s="97"/>
      <c r="Z997" s="97"/>
    </row>
    <row r="998" spans="1:26" ht="15" hidden="1">
      <c r="A998" s="97"/>
      <c r="B998" s="97"/>
      <c r="C998" s="97"/>
      <c r="D998" s="97"/>
      <c r="E998" s="97"/>
      <c r="F998" s="97"/>
      <c r="G998" s="97"/>
      <c r="H998" s="97"/>
      <c r="I998" s="97"/>
      <c r="J998" s="97"/>
      <c r="K998" s="97"/>
      <c r="L998" s="97"/>
      <c r="M998" s="97"/>
      <c r="N998" s="97"/>
      <c r="O998" s="97"/>
      <c r="P998" s="97"/>
      <c r="Q998" s="97"/>
      <c r="R998" s="97"/>
      <c r="S998" s="97"/>
      <c r="T998" s="97"/>
      <c r="U998" s="97"/>
      <c r="V998" s="97"/>
      <c r="W998" s="97"/>
      <c r="X998" s="97"/>
      <c r="Y998" s="97"/>
      <c r="Z998" s="97"/>
    </row>
    <row r="999" spans="1:26" ht="15" hidden="1">
      <c r="A999" s="97"/>
      <c r="B999" s="97"/>
      <c r="C999" s="97"/>
      <c r="D999" s="97"/>
      <c r="E999" s="97"/>
      <c r="F999" s="97"/>
      <c r="G999" s="97"/>
      <c r="H999" s="97"/>
      <c r="I999" s="97"/>
      <c r="J999" s="97"/>
      <c r="K999" s="97"/>
      <c r="L999" s="97"/>
      <c r="M999" s="97"/>
      <c r="N999" s="97"/>
      <c r="O999" s="97"/>
      <c r="P999" s="97"/>
      <c r="Q999" s="97"/>
      <c r="R999" s="97"/>
      <c r="S999" s="97"/>
      <c r="T999" s="97"/>
      <c r="U999" s="97"/>
      <c r="V999" s="97"/>
      <c r="W999" s="97"/>
      <c r="X999" s="97"/>
      <c r="Y999" s="97"/>
      <c r="Z999" s="97"/>
    </row>
    <row r="1000" spans="1:26" ht="15" hidden="1">
      <c r="A1000" s="97"/>
      <c r="B1000" s="97"/>
      <c r="C1000" s="97"/>
      <c r="D1000" s="97"/>
      <c r="E1000" s="97"/>
      <c r="F1000" s="97"/>
      <c r="G1000" s="97"/>
      <c r="H1000" s="97"/>
      <c r="I1000" s="97"/>
      <c r="J1000" s="97"/>
      <c r="K1000" s="97"/>
      <c r="L1000" s="97"/>
      <c r="M1000" s="97"/>
      <c r="N1000" s="97"/>
      <c r="O1000" s="97"/>
      <c r="P1000" s="97"/>
      <c r="Q1000" s="97"/>
      <c r="R1000" s="97"/>
      <c r="S1000" s="97"/>
      <c r="T1000" s="97"/>
      <c r="U1000" s="97"/>
      <c r="V1000" s="97"/>
      <c r="W1000" s="97"/>
      <c r="X1000" s="97"/>
      <c r="Y1000" s="97"/>
      <c r="Z1000" s="97"/>
    </row>
  </sheetData>
  <autoFilter ref="A1:Z1000" xr:uid="{00000000-0009-0000-0000-000010000000}">
    <filterColumn colId="0">
      <filters>
        <filter val="An Giang Province"/>
        <filter val="Bà Rịa–Vũng Tàu Province"/>
        <filter val="Bạc Liêu Province"/>
        <filter val="Bến Tre Province"/>
        <filter val="Bình Dương Province"/>
        <filter val="Bình Phước Province"/>
        <filter val="Cà Mau Province"/>
        <filter val="Cần Thơ"/>
        <filter val="Đồng Nai Province"/>
        <filter val="Đồng Tháp Province"/>
        <filter val="Hậu Giang Province"/>
        <filter val="Ho Chi Minh City"/>
        <filter val="Kiên Giang Province"/>
        <filter val="Long An Province"/>
        <filter val="Sóc Trăng Province"/>
        <filter val="Tây Ninh Province"/>
        <filter val="Tiền Giang Province"/>
        <filter val="Trà Vinh Province"/>
        <filter val="Vĩnh Long Province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Cửa hàng 2025</vt:lpstr>
      <vt:lpstr>Các nguồn</vt:lpstr>
      <vt:lpstr>Dự Án Online 2025</vt:lpstr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 Quann</cp:lastModifiedBy>
  <dcterms:modified xsi:type="dcterms:W3CDTF">2026-04-02T15:28:26Z</dcterms:modified>
</cp:coreProperties>
</file>